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369ead338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b94245a898ea4d2e"/>
    <x:sheet xmlns:r="http://schemas.openxmlformats.org/officeDocument/2006/relationships" name="Свод_регионы" sheetId="2" r:id="R6c286bfaebfc45ff"/>
    <x:sheet xmlns:r="http://schemas.openxmlformats.org/officeDocument/2006/relationships" name="Свод_возраст" sheetId="3" r:id="R6e39c7ba6597468e"/>
    <x:sheet xmlns:r="http://schemas.openxmlformats.org/officeDocument/2006/relationships" name="Свод_навыки" sheetId="4" r:id="R41859ad3b02e42ea"/>
    <x:sheet xmlns:r="http://schemas.openxmlformats.org/officeDocument/2006/relationships" name="Дашборд" sheetId="5" r:id="Rac26b5caec894137"/>
    <x:sheet xmlns:r="http://schemas.openxmlformats.org/officeDocument/2006/relationships" name="Методика" sheetId="6" r:id="R9794f32610cb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color rgb="08060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A0E73"/>
      </x:patternFill>
    </x:fill>
    <x:fill>
      <x:patternFill patternType="solid">
        <x:fgColor rgb="08060F"/>
      </x:patternFill>
    </x:fill>
    <x:fill>
      <x:patternFill patternType="solid">
        <x:fgColor rgb="E6DAF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6dee41b5d4efa" /><Relationship Type="http://schemas.openxmlformats.org/officeDocument/2006/relationships/theme" Target="/xl/theme/theme1.xml" Id="Rb384aeee0cd84ade" /><Relationship Type="http://schemas.openxmlformats.org/officeDocument/2006/relationships/sharedStrings" Target="/xl/sharedStrings.xml" Id="Rbd912ce4348d4bc3" /><Relationship Type="http://schemas.openxmlformats.org/officeDocument/2006/relationships/worksheet" Target="/xl/worksheets/sheet1.xml" Id="Rb94245a898ea4d2e" /><Relationship Type="http://schemas.openxmlformats.org/officeDocument/2006/relationships/worksheet" Target="/xl/worksheets/sheet2.xml" Id="R6c286bfaebfc45ff" /><Relationship Type="http://schemas.openxmlformats.org/officeDocument/2006/relationships/worksheet" Target="/xl/worksheets/sheet3.xml" Id="R6e39c7ba6597468e" /><Relationship Type="http://schemas.openxmlformats.org/officeDocument/2006/relationships/worksheet" Target="/xl/worksheets/sheet4.xml" Id="R41859ad3b02e42ea" /><Relationship Type="http://schemas.openxmlformats.org/officeDocument/2006/relationships/worksheet" Target="/xl/worksheets/sheet5.xml" Id="Rac26b5caec894137" /><Relationship Type="http://schemas.openxmlformats.org/officeDocument/2006/relationships/worksheet" Target="/xl/worksheets/sheet6.xml" Id="R9794f32610cb42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1a36906c584f5a" /><Relationship Type="http://schemas.openxmlformats.org/officeDocument/2006/relationships/chart" Target="/xl/drawings/charts/chart2.xml" Id="R184adf624b0a4dc8" /><Relationship Type="http://schemas.openxmlformats.org/officeDocument/2006/relationships/chart" Target="/xl/drawings/charts/chart3.xml" Id="R1cd67e14c4574cf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Средний балл</c:v>
          </c:tx>
          <c:cat>
            <c:strRef>
              <c:f>'Дашборд'!$A$8:$A$19</c:f>
              <c:strCache>
                <c:ptCount val="0"/>
              </c:strCache>
            </c:strRef>
          </c:cat>
          <c:val>
            <c:numRef>
              <c:f>'Дашборд'!$C$8:$C$19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Средний балл</c:v>
          </c:tx>
          <c:cat>
            <c:strRef>
              <c:f>'Дашборд'!$H$8:$H$13</c:f>
              <c:strCache>
                <c:ptCount val="0"/>
              </c:strCache>
            </c:strRef>
          </c:cat>
          <c:val>
            <c:numRef>
              <c:f>'Дашборд'!$I$8:$I$13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Уровни</c:v>
          </c:tx>
          <c:cat>
            <c:strRef>
              <c:f>'Дашборд'!$K$8:$K$10</c:f>
              <c:strCache>
                <c:ptCount val="0"/>
              </c:strCache>
            </c:strRef>
          </c:cat>
          <c:val>
            <c:numRef>
              <c:f>'Дашборд'!$L$8:$L$10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1a36906c584f5a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4adf624b0a4dc8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13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d67e14c4574c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gitalLiteracyData" displayName="DigitalLiteracyData" ref="A1:S181" headerRowCount="1">
  <x:tableColumns count="19">
    <x:tableColumn id="1" name="ID"/>
    <x:tableColumn id="2" name="Регион"/>
    <x:tableColumn id="3" name="Населенный пункт"/>
    <x:tableColumn id="4" name="Возрастная группа"/>
    <x:tableColumn id="5" name="Пол"/>
    <x:tableColumn id="6" name="Образование"/>
    <x:tableColumn id="7" name="Доступ к интернету"/>
    <x:tableColumn id="8" name="Поиск информации"/>
    <x:tableColumn id="9" name="Пароли и 2FA"/>
    <x:tableColumn id="10" name="Персональные данные"/>
    <x:tableColumn id="11" name="Фишинг"/>
    <x:tableColumn id="12" name="Госуслуги и банкинг"/>
    <x:tableColumn id="13" name="Соцсети"/>
    <x:tableColumn id="14" name="Итоговый балл"/>
    <x:tableColumn id="15" name="Уровень"/>
    <x:tableColumn id="16" name="Риск утечки"/>
    <x:tableColumn id="17" name="Рекомендованный курс"/>
    <x:tableColumn id="18" name="Месяц"/>
    <x:tableColumn id="19" name="Источник анкет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74f5ff68a645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0552946d69f42b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20" hidden="0" customWidth="1"/>
    <x:col min="16" max="16" width="20" hidden="0" customWidth="1"/>
    <x:col min="17" max="17" width="20" hidden="0" customWidth="1"/>
    <x:col min="18" max="18" width="18" hidden="0" customWidth="1"/>
    <x:col min="19" max="19" width="18" hidden="0" customWidth="1"/>
  </x:cols>
  <x:sheetData>
    <x:row r="1">
      <x:c r="A1" s="6" t="str">
        <x:v>ID</x:v>
      </x:c>
      <x:c r="B1" s="6" t="str">
        <x:v>Регион</x:v>
      </x:c>
      <x:c r="C1" s="6" t="str">
        <x:v>Населенный пункт</x:v>
      </x:c>
      <x:c r="D1" s="6" t="str">
        <x:v>Возрастная группа</x:v>
      </x:c>
      <x:c r="E1" s="6" t="str">
        <x:v>Пол</x:v>
      </x:c>
      <x:c r="F1" s="6" t="str">
        <x:v>Образование</x:v>
      </x:c>
      <x:c r="G1" s="6" t="str">
        <x:v>Доступ к интернету</x:v>
      </x:c>
      <x:c r="H1" s="6" t="str">
        <x:v>Поиск информации</x:v>
      </x:c>
      <x:c r="I1" s="6" t="str">
        <x:v>Пароли и 2FA</x:v>
      </x:c>
      <x:c r="J1" s="6" t="str">
        <x:v>Персональные данные</x:v>
      </x:c>
      <x:c r="K1" s="6" t="str">
        <x:v>Фишинг</x:v>
      </x:c>
      <x:c r="L1" s="6" t="str">
        <x:v>Госуслуги и банкинг</x:v>
      </x:c>
      <x:c r="M1" s="6" t="str">
        <x:v>Соцсети</x:v>
      </x:c>
      <x:c r="N1" s="6" t="str">
        <x:v>Итоговый балл</x:v>
      </x:c>
      <x:c r="O1" s="6" t="str">
        <x:v>Уровень</x:v>
      </x:c>
      <x:c r="P1" s="6" t="str">
        <x:v>Риск утечки</x:v>
      </x:c>
      <x:c r="Q1" s="6" t="str">
        <x:v>Рекомендованный курс</x:v>
      </x:c>
      <x:c r="R1" s="6" t="str">
        <x:v>Месяц</x:v>
      </x:c>
      <x:c r="S1" s="6" t="str">
        <x:v>Источник анкеты</x:v>
      </x:c>
    </x:row>
    <x:row r="2">
      <x:c r="A2" s="12" t="n">
        <x:v>1</x:v>
      </x:c>
      <x:c r="B2" s="12" t="str">
        <x:v>Нижегородская область</x:v>
      </x:c>
      <x:c r="C2" s="12" t="str">
        <x:v>малый город</x:v>
      </x:c>
      <x:c r="D2" s="12" t="str">
        <x:v>18-24</x:v>
      </x:c>
      <x:c r="E2" s="12" t="str">
        <x:v>Женский</x:v>
      </x:c>
      <x:c r="F2" s="12" t="str">
        <x:v>среднее специальное</x:v>
      </x:c>
      <x:c r="G2" s="12" t="str">
        <x:v>постоянный</x:v>
      </x:c>
      <x:c r="H2" s="14" t="n">
        <x:v>84</x:v>
      </x:c>
      <x:c r="I2" s="14" t="n">
        <x:v>80</x:v>
      </x:c>
      <x:c r="J2" s="14" t="n">
        <x:v>76</x:v>
      </x:c>
      <x:c r="K2" s="14" t="n">
        <x:v>61</x:v>
      </x:c>
      <x:c r="L2" s="14" t="n">
        <x:v>76</x:v>
      </x:c>
      <x:c r="M2" s="14" t="n">
        <x:v>74</x:v>
      </x:c>
      <x:c r="N2" s="14" t="n">
        <x:f>ROUND(AVERAGE(H2:M2),0)</x:f>
        <x:v>75</x:v>
      </x:c>
      <x:c r="O2" s="12" t="str">
        <x:f>IF(N2&gt;=80,"Высокий",IF(N2&gt;=60,"Средний","Низкий"))</x:f>
        <x:v>Средний</x:v>
      </x:c>
      <x:c r="P2" s="12" t="str">
        <x:f>IF(N2&gt;=80,"Низкий",IF(N2&gt;=60,"Средний","Высокий"))</x:f>
        <x:v>Средний</x:v>
      </x:c>
      <x:c r="Q2" s="12" t="str">
        <x:f>IF(MIN(H2:M2)=H2,"Основы цифровой грамотности",IF(MIN(H2:M2)=I2,"Менеджер паролей и 2FA",IF(MIN(H2:M2)=J2,"Персональные данные без утечек",IF(MIN(H2:M2)=K2,"Антифишинг: распознавание угроз",IF(MIN(H2:M2)=L2,"Безопасные платежи и госуслуги","Безопасность в соцсетях")))))</x:f>
        <x:v>Антифишинг: распознавание угроз</x:v>
      </x:c>
      <x:c r="R2" s="12" t="str">
        <x:v>2026-02</x:v>
      </x:c>
      <x:c r="S2" s="12" t="str">
        <x:v>онлайн-анкета</x:v>
      </x:c>
    </x:row>
    <x:row r="3">
      <x:c r="A3" s="12" t="n">
        <x:v>2</x:v>
      </x:c>
      <x:c r="B3" s="12" t="str">
        <x:v>Ростовская область</x:v>
      </x:c>
      <x:c r="C3" s="12" t="str">
        <x:v>малый город</x:v>
      </x:c>
      <x:c r="D3" s="12" t="str">
        <x:v>18-24</x:v>
      </x:c>
      <x:c r="E3" s="12" t="str">
        <x:v>Мужской</x:v>
      </x:c>
      <x:c r="F3" s="12" t="str">
        <x:v>высшее</x:v>
      </x:c>
      <x:c r="G3" s="12" t="str">
        <x:v>постоянный</x:v>
      </x:c>
      <x:c r="H3" s="14" t="n">
        <x:v>83</x:v>
      </x:c>
      <x:c r="I3" s="14" t="n">
        <x:v>89</x:v>
      </x:c>
      <x:c r="J3" s="14" t="n">
        <x:v>77</x:v>
      </x:c>
      <x:c r="K3" s="14" t="n">
        <x:v>73</x:v>
      </x:c>
      <x:c r="L3" s="14" t="n">
        <x:v>83</x:v>
      </x:c>
      <x:c r="M3" s="14" t="n">
        <x:v>60</x:v>
      </x:c>
      <x:c r="N3" s="14" t="n">
        <x:f>ROUND(AVERAGE(H3:M3),0)</x:f>
        <x:v>78</x:v>
      </x:c>
      <x:c r="O3" s="12" t="str">
        <x:f>IF(N3&gt;=80,"Высокий",IF(N3&gt;=60,"Средний","Низкий"))</x:f>
        <x:v>Средний</x:v>
      </x:c>
      <x:c r="P3" s="12" t="str">
        <x:f>IF(N3&gt;=80,"Низкий",IF(N3&gt;=60,"Средний","Высокий"))</x:f>
        <x:v>Средний</x:v>
      </x:c>
      <x:c r="Q3" s="12" t="str">
        <x:f>IF(MIN(H3:M3)=H3,"Основы цифровой грамотности",IF(MIN(H3:M3)=I3,"Менеджер паролей и 2FA",IF(MIN(H3:M3)=J3,"Персональные данные без утечек",IF(MIN(H3:M3)=K3,"Антифишинг: распознавание угроз",IF(MIN(H3:M3)=L3,"Безопасные платежи и госуслуги","Безопасность в соцсетях")))))</x:f>
        <x:v>Безопасность в соцсетях</x:v>
      </x:c>
      <x:c r="R3" s="12" t="str">
        <x:v>2026-02</x:v>
      </x:c>
      <x:c r="S3" s="12" t="str">
        <x:v>опрос в центре</x:v>
      </x:c>
    </x:row>
    <x:row r="4">
      <x:c r="A4" s="12" t="n">
        <x:v>3</x:v>
      </x:c>
      <x:c r="B4" s="12" t="str">
        <x:v>Краснодарский край</x:v>
      </x:c>
      <x:c r="C4" s="12" t="str">
        <x:v>крупный город</x:v>
      </x:c>
      <x:c r="D4" s="12" t="str">
        <x:v>18-24</x:v>
      </x:c>
      <x:c r="E4" s="12" t="str">
        <x:v>Женский</x:v>
      </x:c>
      <x:c r="F4" s="12" t="str">
        <x:v>высшее</x:v>
      </x:c>
      <x:c r="G4" s="12" t="str">
        <x:v>постоянный</x:v>
      </x:c>
      <x:c r="H4" s="14" t="n">
        <x:v>82</x:v>
      </x:c>
      <x:c r="I4" s="14" t="n">
        <x:v>88</x:v>
      </x:c>
      <x:c r="J4" s="14" t="n">
        <x:v>93</x:v>
      </x:c>
      <x:c r="K4" s="14" t="n">
        <x:v>82</x:v>
      </x:c>
      <x:c r="L4" s="14" t="n">
        <x:v>99</x:v>
      </x:c>
      <x:c r="M4" s="14" t="n">
        <x:v>96</x:v>
      </x:c>
      <x:c r="N4" s="14" t="n">
        <x:f>ROUND(AVERAGE(H4:M4),0)</x:f>
        <x:v>90</x:v>
      </x:c>
      <x:c r="O4" s="12" t="str">
        <x:f>IF(N4&gt;=80,"Высокий",IF(N4&gt;=60,"Средний","Низкий"))</x:f>
        <x:v>Высокий</x:v>
      </x:c>
      <x:c r="P4" s="12" t="str">
        <x:f>IF(N4&gt;=80,"Низкий",IF(N4&gt;=60,"Средний","Высокий"))</x:f>
        <x:v>Низкий</x:v>
      </x:c>
      <x:c r="Q4" s="12" t="str">
        <x:f>IF(MIN(H4:M4)=H4,"Основы цифровой грамотности",IF(MIN(H4:M4)=I4,"Менеджер паролей и 2FA",IF(MIN(H4:M4)=J4,"Персональные данные без утечек",IF(MIN(H4:M4)=K4,"Антифишинг: распознавание угроз",IF(MIN(H4:M4)=L4,"Безопасные платежи и госуслуги","Безопасность в соцсетях")))))</x:f>
        <x:v>Основы цифровой грамотности</x:v>
      </x:c>
      <x:c r="R4" s="12" t="str">
        <x:v>2026-06</x:v>
      </x:c>
      <x:c r="S4" s="12" t="str">
        <x:v>школьный модуль</x:v>
      </x:c>
    </x:row>
    <x:row r="5">
      <x:c r="A5" s="12" t="n">
        <x:v>4</x:v>
      </x:c>
      <x:c r="B5" s="12" t="str">
        <x:v>Пермский край</x:v>
      </x:c>
      <x:c r="C5" s="12" t="str">
        <x:v>крупный город</x:v>
      </x:c>
      <x:c r="D5" s="12" t="str">
        <x:v>18-24</x:v>
      </x:c>
      <x:c r="E5" s="12" t="str">
        <x:v>Мужской</x:v>
      </x:c>
      <x:c r="F5" s="12" t="str">
        <x:v>среднее специальное</x:v>
      </x:c>
      <x:c r="G5" s="12" t="str">
        <x:v>постоянный</x:v>
      </x:c>
      <x:c r="H5" s="14" t="n">
        <x:v>90</x:v>
      </x:c>
      <x:c r="I5" s="14" t="n">
        <x:v>52</x:v>
      </x:c>
      <x:c r="J5" s="14" t="n">
        <x:v>94</x:v>
      </x:c>
      <x:c r="K5" s="14" t="n">
        <x:v>63</x:v>
      </x:c>
      <x:c r="L5" s="14" t="n">
        <x:v>75</x:v>
      </x:c>
      <x:c r="M5" s="14" t="n">
        <x:v>88</x:v>
      </x:c>
      <x:c r="N5" s="14" t="n">
        <x:f>ROUND(AVERAGE(H5:M5),0)</x:f>
        <x:v>77</x:v>
      </x:c>
      <x:c r="O5" s="12" t="str">
        <x:f>IF(N5&gt;=80,"Высокий",IF(N5&gt;=60,"Средний","Низкий"))</x:f>
        <x:v>Средний</x:v>
      </x:c>
      <x:c r="P5" s="12" t="str">
        <x:f>IF(N5&gt;=80,"Низкий",IF(N5&gt;=60,"Средний","Высокий"))</x:f>
        <x:v>Средний</x:v>
      </x:c>
      <x:c r="Q5" s="12" t="str">
        <x:f>IF(MIN(H5:M5)=H5,"Основы цифровой грамотности",IF(MIN(H5:M5)=I5,"Менеджер паролей и 2FA",IF(MIN(H5:M5)=J5,"Персональные данные без утечек",IF(MIN(H5:M5)=K5,"Антифишинг: распознавание угроз",IF(MIN(H5:M5)=L5,"Безопасные платежи и госуслуги","Безопасность в соцсетях")))))</x:f>
        <x:v>Менеджер паролей и 2FA</x:v>
      </x:c>
      <x:c r="R5" s="12" t="str">
        <x:v>2026-03</x:v>
      </x:c>
      <x:c r="S5" s="12" t="str">
        <x:v>школьный модуль</x:v>
      </x:c>
    </x:row>
    <x:row r="6">
      <x:c r="A6" s="12" t="n">
        <x:v>5</x:v>
      </x:c>
      <x:c r="B6" s="12" t="str">
        <x:v>Новосибирская область</x:v>
      </x:c>
      <x:c r="C6" s="12" t="str">
        <x:v>малый город</x:v>
      </x:c>
      <x:c r="D6" s="12" t="str">
        <x:v>35-44</x:v>
      </x:c>
      <x:c r="E6" s="12" t="str">
        <x:v>Женский</x:v>
      </x:c>
      <x:c r="F6" s="12" t="str">
        <x:v>высшее</x:v>
      </x:c>
      <x:c r="G6" s="12" t="str">
        <x:v>постоянный</x:v>
      </x:c>
      <x:c r="H6" s="14" t="n">
        <x:v>82</x:v>
      </x:c>
      <x:c r="I6" s="14" t="n">
        <x:v>70</x:v>
      </x:c>
      <x:c r="J6" s="14" t="n">
        <x:v>58</x:v>
      </x:c>
      <x:c r="K6" s="14" t="n">
        <x:v>60</x:v>
      </x:c>
      <x:c r="L6" s="14" t="n">
        <x:v>58</x:v>
      </x:c>
      <x:c r="M6" s="14" t="n">
        <x:v>65</x:v>
      </x:c>
      <x:c r="N6" s="14" t="n">
        <x:f>ROUND(AVERAGE(H6:M6),0)</x:f>
        <x:v>66</x:v>
      </x:c>
      <x:c r="O6" s="12" t="str">
        <x:f>IF(N6&gt;=80,"Высокий",IF(N6&gt;=60,"Средний","Низкий"))</x:f>
        <x:v>Средний</x:v>
      </x:c>
      <x:c r="P6" s="12" t="str">
        <x:f>IF(N6&gt;=80,"Низкий",IF(N6&gt;=60,"Средний","Высокий"))</x:f>
        <x:v>Средний</x:v>
      </x:c>
      <x:c r="Q6" s="12" t="str">
        <x:f>IF(MIN(H6:M6)=H6,"Основы цифровой грамотности",IF(MIN(H6:M6)=I6,"Менеджер паролей и 2FA",IF(MIN(H6:M6)=J6,"Персональные данные без утечек",IF(MIN(H6:M6)=K6,"Антифишинг: распознавание угроз",IF(MIN(H6:M6)=L6,"Безопасные платежи и госуслуги","Безопасность в соцсетях")))))</x:f>
        <x:v>Персональные данные без утечек</x:v>
      </x:c>
      <x:c r="R6" s="12" t="str">
        <x:v>2026-01</x:v>
      </x:c>
      <x:c r="S6" s="12" t="str">
        <x:v>опрос в центре</x:v>
      </x:c>
    </x:row>
    <x:row r="7">
      <x:c r="A7" s="12" t="n">
        <x:v>6</x:v>
      </x:c>
      <x:c r="B7" s="12" t="str">
        <x:v>Москва</x:v>
      </x:c>
      <x:c r="C7" s="12" t="str">
        <x:v>крупный город</x:v>
      </x:c>
      <x:c r="D7" s="12" t="str">
        <x:v>45-60</x:v>
      </x:c>
      <x:c r="E7" s="12" t="str">
        <x:v>Мужской</x:v>
      </x:c>
      <x:c r="F7" s="12" t="str">
        <x:v>среднее специальное</x:v>
      </x:c>
      <x:c r="G7" s="12" t="str">
        <x:v>постоянный</x:v>
      </x:c>
      <x:c r="H7" s="14" t="n">
        <x:v>77</x:v>
      </x:c>
      <x:c r="I7" s="14" t="n">
        <x:v>54</x:v>
      </x:c>
      <x:c r="J7" s="14" t="n">
        <x:v>61</x:v>
      </x:c>
      <x:c r="K7" s="14" t="n">
        <x:v>52</x:v>
      </x:c>
      <x:c r="L7" s="14" t="n">
        <x:v>42</x:v>
      </x:c>
      <x:c r="M7" s="14" t="n">
        <x:v>60</x:v>
      </x:c>
      <x:c r="N7" s="14" t="n">
        <x:f>ROUND(AVERAGE(H7:M7),0)</x:f>
        <x:v>58</x:v>
      </x:c>
      <x:c r="O7" s="12" t="str">
        <x:f>IF(N7&gt;=80,"Высокий",IF(N7&gt;=60,"Средний","Низкий"))</x:f>
        <x:v>Низкий</x:v>
      </x:c>
      <x:c r="P7" s="12" t="str">
        <x:f>IF(N7&gt;=80,"Низкий",IF(N7&gt;=60,"Средний","Высокий"))</x:f>
        <x:v>Высокий</x:v>
      </x:c>
      <x:c r="Q7" s="12" t="str">
        <x:f>IF(MIN(H7:M7)=H7,"Основы цифровой грамотности",IF(MIN(H7:M7)=I7,"Менеджер паролей и 2FA",IF(MIN(H7:M7)=J7,"Персональные данные без утечек",IF(MIN(H7:M7)=K7,"Антифишинг: распознавание угроз",IF(MIN(H7:M7)=L7,"Безопасные платежи и госуслуги","Безопасность в соцсетях")))))</x:f>
        <x:v>Безопасные платежи и госуслуги</x:v>
      </x:c>
      <x:c r="R7" s="12" t="str">
        <x:v>2026-03</x:v>
      </x:c>
      <x:c r="S7" s="12" t="str">
        <x:v>опрос в центре</x:v>
      </x:c>
    </x:row>
    <x:row r="8">
      <x:c r="A8" s="12" t="n">
        <x:v>7</x:v>
      </x:c>
      <x:c r="B8" s="12" t="str">
        <x:v>Новосибирская область</x:v>
      </x:c>
      <x:c r="C8" s="12" t="str">
        <x:v>крупный город</x:v>
      </x:c>
      <x:c r="D8" s="12" t="str">
        <x:v>35-44</x:v>
      </x:c>
      <x:c r="E8" s="12" t="str">
        <x:v>Женский</x:v>
      </x:c>
      <x:c r="F8" s="12" t="str">
        <x:v>среднее</x:v>
      </x:c>
      <x:c r="G8" s="12" t="str">
        <x:v>постоянный</x:v>
      </x:c>
      <x:c r="H8" s="14" t="n">
        <x:v>62</x:v>
      </x:c>
      <x:c r="I8" s="14" t="n">
        <x:v>75</x:v>
      </x:c>
      <x:c r="J8" s="14" t="n">
        <x:v>48</x:v>
      </x:c>
      <x:c r="K8" s="14" t="n">
        <x:v>93</x:v>
      </x:c>
      <x:c r="L8" s="14" t="n">
        <x:v>79</x:v>
      </x:c>
      <x:c r="M8" s="14" t="n">
        <x:v>77</x:v>
      </x:c>
      <x:c r="N8" s="14" t="n">
        <x:f>ROUND(AVERAGE(H8:M8),0)</x:f>
        <x:v>72</x:v>
      </x:c>
      <x:c r="O8" s="12" t="str">
        <x:f>IF(N8&gt;=80,"Высокий",IF(N8&gt;=60,"Средний","Низкий"))</x:f>
        <x:v>Средний</x:v>
      </x:c>
      <x:c r="P8" s="12" t="str">
        <x:f>IF(N8&gt;=80,"Низкий",IF(N8&gt;=60,"Средний","Высокий"))</x:f>
        <x:v>Средний</x:v>
      </x:c>
      <x:c r="Q8" s="12" t="str">
        <x:f>IF(MIN(H8:M8)=H8,"Основы цифровой грамотности",IF(MIN(H8:M8)=I8,"Менеджер паролей и 2FA",IF(MIN(H8:M8)=J8,"Персональные данные без утечек",IF(MIN(H8:M8)=K8,"Антифишинг: распознавание угроз",IF(MIN(H8:M8)=L8,"Безопасные платежи и госуслуги","Безопасность в соцсетях")))))</x:f>
        <x:v>Персональные данные без утечек</x:v>
      </x:c>
      <x:c r="R8" s="12" t="str">
        <x:v>2026-02</x:v>
      </x:c>
      <x:c r="S8" s="12" t="str">
        <x:v>опрос в центре</x:v>
      </x:c>
    </x:row>
    <x:row r="9">
      <x:c r="A9" s="12" t="n">
        <x:v>8</x:v>
      </x:c>
      <x:c r="B9" s="12" t="str">
        <x:v>Нижегородская область</x:v>
      </x:c>
      <x:c r="C9" s="12" t="str">
        <x:v>крупный город</x:v>
      </x:c>
      <x:c r="D9" s="12" t="str">
        <x:v>25-34</x:v>
      </x:c>
      <x:c r="E9" s="12" t="str">
        <x:v>Мужской</x:v>
      </x:c>
      <x:c r="F9" s="12" t="str">
        <x:v>высшее</x:v>
      </x:c>
      <x:c r="G9" s="12" t="str">
        <x:v>постоянный</x:v>
      </x:c>
      <x:c r="H9" s="14" t="n">
        <x:v>94</x:v>
      </x:c>
      <x:c r="I9" s="14" t="n">
        <x:v>77</x:v>
      </x:c>
      <x:c r="J9" s="14" t="n">
        <x:v>98</x:v>
      </x:c>
      <x:c r="K9" s="14" t="n">
        <x:v>71</x:v>
      </x:c>
      <x:c r="L9" s="14" t="n">
        <x:v>95</x:v>
      </x:c>
      <x:c r="M9" s="14" t="n">
        <x:v>77</x:v>
      </x:c>
      <x:c r="N9" s="14" t="n">
        <x:f>ROUND(AVERAGE(H9:M9),0)</x:f>
        <x:v>85</x:v>
      </x:c>
      <x:c r="O9" s="12" t="str">
        <x:f>IF(N9&gt;=80,"Высокий",IF(N9&gt;=60,"Средний","Низкий"))</x:f>
        <x:v>Высокий</x:v>
      </x:c>
      <x:c r="P9" s="12" t="str">
        <x:f>IF(N9&gt;=80,"Низкий",IF(N9&gt;=60,"Средний","Высокий"))</x:f>
        <x:v>Низкий</x:v>
      </x:c>
      <x:c r="Q9" s="12" t="str">
        <x:f>IF(MIN(H9:M9)=H9,"Основы цифровой грамотности",IF(MIN(H9:M9)=I9,"Менеджер паролей и 2FA",IF(MIN(H9:M9)=J9,"Персональные данные без утечек",IF(MIN(H9:M9)=K9,"Антифишинг: распознавание угроз",IF(MIN(H9:M9)=L9,"Безопасные платежи и госуслуги","Безопасность в соцсетях")))))</x:f>
        <x:v>Антифишинг: распознавание угроз</x:v>
      </x:c>
      <x:c r="R9" s="12" t="str">
        <x:v>2026-01</x:v>
      </x:c>
      <x:c r="S9" s="12" t="str">
        <x:v>школьный модуль</x:v>
      </x:c>
    </x:row>
    <x:row r="10">
      <x:c r="A10" s="12" t="n">
        <x:v>9</x:v>
      </x:c>
      <x:c r="B10" s="12" t="str">
        <x:v>Башкортостан</x:v>
      </x:c>
      <x:c r="C10" s="12" t="str">
        <x:v>крупный город</x:v>
      </x:c>
      <x:c r="D10" s="12" t="str">
        <x:v>18-24</x:v>
      </x:c>
      <x:c r="E10" s="12" t="str">
        <x:v>Женский</x:v>
      </x:c>
      <x:c r="F10" s="12" t="str">
        <x:v>среднее специальное</x:v>
      </x:c>
      <x:c r="G10" s="12" t="str">
        <x:v>постоянный</x:v>
      </x:c>
      <x:c r="H10" s="14" t="n">
        <x:v>81</x:v>
      </x:c>
      <x:c r="I10" s="14" t="n">
        <x:v>55</x:v>
      </x:c>
      <x:c r="J10" s="14" t="n">
        <x:v>83</x:v>
      </x:c>
      <x:c r="K10" s="14" t="n">
        <x:v>67</x:v>
      </x:c>
      <x:c r="L10" s="14" t="n">
        <x:v>94</x:v>
      </x:c>
      <x:c r="M10" s="14" t="n">
        <x:v>89</x:v>
      </x:c>
      <x:c r="N10" s="14" t="n">
        <x:f>ROUND(AVERAGE(H10:M10),0)</x:f>
        <x:v>78</x:v>
      </x:c>
      <x:c r="O10" s="12" t="str">
        <x:f>IF(N10&gt;=80,"Высокий",IF(N10&gt;=60,"Средний","Низкий"))</x:f>
        <x:v>Средний</x:v>
      </x:c>
      <x:c r="P10" s="12" t="str">
        <x:f>IF(N10&gt;=80,"Низкий",IF(N10&gt;=60,"Средний","Высокий"))</x:f>
        <x:v>Средний</x:v>
      </x:c>
      <x:c r="Q10" s="12" t="str">
        <x:f>IF(MIN(H10:M10)=H10,"Основы цифровой грамотности",IF(MIN(H10:M10)=I10,"Менеджер паролей и 2FA",IF(MIN(H10:M10)=J10,"Персональные данные без утечек",IF(MIN(H10:M10)=K10,"Антифишинг: распознавание угроз",IF(MIN(H10:M10)=L10,"Безопасные платежи и госуслуги","Безопасность в соцсетях")))))</x:f>
        <x:v>Менеджер паролей и 2FA</x:v>
      </x:c>
      <x:c r="R10" s="12" t="str">
        <x:v>2026-03</x:v>
      </x:c>
      <x:c r="S10" s="12" t="str">
        <x:v>опрос в центре</x:v>
      </x:c>
    </x:row>
    <x:row r="11">
      <x:c r="A11" s="12" t="n">
        <x:v>10</x:v>
      </x:c>
      <x:c r="B11" s="12" t="str">
        <x:v>Ростовская область</x:v>
      </x:c>
      <x:c r="C11" s="12" t="str">
        <x:v>село</x:v>
      </x:c>
      <x:c r="D11" s="12" t="str">
        <x:v>60+</x:v>
      </x:c>
      <x:c r="E11" s="12" t="str">
        <x:v>Женский</x:v>
      </x:c>
      <x:c r="F11" s="12" t="str">
        <x:v>среднее</x:v>
      </x:c>
      <x:c r="G11" s="12" t="str">
        <x:v>нестабильный</x:v>
      </x:c>
      <x:c r="H11" s="14" t="n">
        <x:v>30</x:v>
      </x:c>
      <x:c r="I11" s="14" t="n">
        <x:v>27</x:v>
      </x:c>
      <x:c r="J11" s="14" t="n">
        <x:v>42</x:v>
      </x:c>
      <x:c r="K11" s="14" t="n">
        <x:v>38</x:v>
      </x:c>
      <x:c r="L11" s="14" t="n">
        <x:v>54</x:v>
      </x:c>
      <x:c r="M11" s="14" t="n">
        <x:v>31</x:v>
      </x:c>
      <x:c r="N11" s="14" t="n">
        <x:f>ROUND(AVERAGE(H11:M11),0)</x:f>
        <x:v>37</x:v>
      </x:c>
      <x:c r="O11" s="12" t="str">
        <x:f>IF(N11&gt;=80,"Высокий",IF(N11&gt;=60,"Средний","Низкий"))</x:f>
        <x:v>Низкий</x:v>
      </x:c>
      <x:c r="P11" s="12" t="str">
        <x:f>IF(N11&gt;=80,"Низкий",IF(N11&gt;=60,"Средний","Высокий"))</x:f>
        <x:v>Высокий</x:v>
      </x:c>
      <x:c r="Q11" s="12" t="str">
        <x:f>IF(MIN(H11:M11)=H11,"Основы цифровой грамотности",IF(MIN(H11:M11)=I11,"Менеджер паролей и 2FA",IF(MIN(H11:M11)=J11,"Персональные данные без утечек",IF(MIN(H11:M11)=K11,"Антифишинг: распознавание угроз",IF(MIN(H11:M11)=L11,"Безопасные платежи и госуслуги","Безопасность в соцсетях")))))</x:f>
        <x:v>Менеджер паролей и 2FA</x:v>
      </x:c>
      <x:c r="R11" s="12" t="str">
        <x:v>2026-02</x:v>
      </x:c>
      <x:c r="S11" s="12" t="str">
        <x:v>онлайн-анкета</x:v>
      </x:c>
    </x:row>
    <x:row r="12">
      <x:c r="A12" s="12" t="n">
        <x:v>11</x:v>
      </x:c>
      <x:c r="B12" s="12" t="str">
        <x:v>Санкт-Петербург</x:v>
      </x:c>
      <x:c r="C12" s="12" t="str">
        <x:v>малый город</x:v>
      </x:c>
      <x:c r="D12" s="12" t="str">
        <x:v>35-44</x:v>
      </x:c>
      <x:c r="E12" s="12" t="str">
        <x:v>Мужской</x:v>
      </x:c>
      <x:c r="F12" s="12" t="str">
        <x:v>среднее специальное</x:v>
      </x:c>
      <x:c r="G12" s="12" t="str">
        <x:v>ограниченный</x:v>
      </x:c>
      <x:c r="H12" s="14" t="n">
        <x:v>55</x:v>
      </x:c>
      <x:c r="I12" s="14" t="n">
        <x:v>54</x:v>
      </x:c>
      <x:c r="J12" s="14" t="n">
        <x:v>43</x:v>
      </x:c>
      <x:c r="K12" s="14" t="n">
        <x:v>33</x:v>
      </x:c>
      <x:c r="L12" s="14" t="n">
        <x:v>63</x:v>
      </x:c>
      <x:c r="M12" s="14" t="n">
        <x:v>65</x:v>
      </x:c>
      <x:c r="N12" s="14" t="n">
        <x:f>ROUND(AVERAGE(H12:M12),0)</x:f>
        <x:v>52</x:v>
      </x:c>
      <x:c r="O12" s="12" t="str">
        <x:f>IF(N12&gt;=80,"Высокий",IF(N12&gt;=60,"Средний","Низкий"))</x:f>
        <x:v>Низкий</x:v>
      </x:c>
      <x:c r="P12" s="12" t="str">
        <x:f>IF(N12&gt;=80,"Низкий",IF(N12&gt;=60,"Средний","Высокий"))</x:f>
        <x:v>Высокий</x:v>
      </x:c>
      <x:c r="Q12" s="12" t="str">
        <x:f>IF(MIN(H12:M12)=H12,"Основы цифровой грамотности",IF(MIN(H12:M12)=I12,"Менеджер паролей и 2FA",IF(MIN(H12:M12)=J12,"Персональные данные без утечек",IF(MIN(H12:M12)=K12,"Антифишинг: распознавание угроз",IF(MIN(H12:M12)=L12,"Безопасные платежи и госуслуги","Безопасность в соцсетях")))))</x:f>
        <x:v>Антифишинг: распознавание угроз</x:v>
      </x:c>
      <x:c r="R12" s="12" t="str">
        <x:v>2026-05</x:v>
      </x:c>
      <x:c r="S12" s="12" t="str">
        <x:v>опрос в центре</x:v>
      </x:c>
    </x:row>
    <x:row r="13">
      <x:c r="A13" s="12" t="n">
        <x:v>12</x:v>
      </x:c>
      <x:c r="B13" s="12" t="str">
        <x:v>Приморский край</x:v>
      </x:c>
      <x:c r="C13" s="12" t="str">
        <x:v>село</x:v>
      </x:c>
      <x:c r="D13" s="12" t="str">
        <x:v>18-24</x:v>
      </x:c>
      <x:c r="E13" s="12" t="str">
        <x:v>Женский</x:v>
      </x:c>
      <x:c r="F13" s="12" t="str">
        <x:v>среднее специальное</x:v>
      </x:c>
      <x:c r="G13" s="12" t="str">
        <x:v>постоянный</x:v>
      </x:c>
      <x:c r="H13" s="14" t="n">
        <x:v>64</x:v>
      </x:c>
      <x:c r="I13" s="14" t="n">
        <x:v>75</x:v>
      </x:c>
      <x:c r="J13" s="14" t="n">
        <x:v>76</x:v>
      </x:c>
      <x:c r="K13" s="14" t="n">
        <x:v>73</x:v>
      </x:c>
      <x:c r="L13" s="14" t="n">
        <x:v>65</x:v>
      </x:c>
      <x:c r="M13" s="14" t="n">
        <x:v>80</x:v>
      </x:c>
      <x:c r="N13" s="14" t="n">
        <x:f>ROUND(AVERAGE(H13:M13),0)</x:f>
        <x:v>72</x:v>
      </x:c>
      <x:c r="O13" s="12" t="str">
        <x:f>IF(N13&gt;=80,"Высокий",IF(N13&gt;=60,"Средний","Низкий"))</x:f>
        <x:v>Средний</x:v>
      </x:c>
      <x:c r="P13" s="12" t="str">
        <x:f>IF(N13&gt;=80,"Низкий",IF(N13&gt;=60,"Средний","Высокий"))</x:f>
        <x:v>Средний</x:v>
      </x:c>
      <x:c r="Q13" s="12" t="str">
        <x:f>IF(MIN(H13:M13)=H13,"Основы цифровой грамотности",IF(MIN(H13:M13)=I13,"Менеджер паролей и 2FA",IF(MIN(H13:M13)=J13,"Персональные данные без утечек",IF(MIN(H13:M13)=K13,"Антифишинг: распознавание угроз",IF(MIN(H13:M13)=L13,"Безопасные платежи и госуслуги","Безопасность в соцсетях")))))</x:f>
        <x:v>Основы цифровой грамотности</x:v>
      </x:c>
      <x:c r="R13" s="12" t="str">
        <x:v>2026-01</x:v>
      </x:c>
      <x:c r="S13" s="12" t="str">
        <x:v>онлайн-анкета</x:v>
      </x:c>
    </x:row>
    <x:row r="14">
      <x:c r="A14" s="12" t="n">
        <x:v>13</x:v>
      </x:c>
      <x:c r="B14" s="12" t="str">
        <x:v>Приморский край</x:v>
      </x:c>
      <x:c r="C14" s="12" t="str">
        <x:v>крупный город</x:v>
      </x:c>
      <x:c r="D14" s="12" t="str">
        <x:v>35-44</x:v>
      </x:c>
      <x:c r="E14" s="12" t="str">
        <x:v>Мужской</x:v>
      </x:c>
      <x:c r="F14" s="12" t="str">
        <x:v>среднее специальное</x:v>
      </x:c>
      <x:c r="G14" s="12" t="str">
        <x:v>нестабильный</x:v>
      </x:c>
      <x:c r="H14" s="14" t="n">
        <x:v>71</x:v>
      </x:c>
      <x:c r="I14" s="14" t="n">
        <x:v>61</x:v>
      </x:c>
      <x:c r="J14" s="14" t="n">
        <x:v>66</x:v>
      </x:c>
      <x:c r="K14" s="14" t="n">
        <x:v>77</x:v>
      </x:c>
      <x:c r="L14" s="14" t="n">
        <x:v>67</x:v>
      </x:c>
      <x:c r="M14" s="14" t="n">
        <x:v>68</x:v>
      </x:c>
      <x:c r="N14" s="14" t="n">
        <x:f>ROUND(AVERAGE(H14:M14),0)</x:f>
        <x:v>68</x:v>
      </x:c>
      <x:c r="O14" s="12" t="str">
        <x:f>IF(N14&gt;=80,"Высокий",IF(N14&gt;=60,"Средний","Низкий"))</x:f>
        <x:v>Средний</x:v>
      </x:c>
      <x:c r="P14" s="12" t="str">
        <x:f>IF(N14&gt;=80,"Низкий",IF(N14&gt;=60,"Средний","Высокий"))</x:f>
        <x:v>Средний</x:v>
      </x:c>
      <x:c r="Q14" s="12" t="str">
        <x:f>IF(MIN(H14:M14)=H14,"Основы цифровой грамотности",IF(MIN(H14:M14)=I14,"Менеджер паролей и 2FA",IF(MIN(H14:M14)=J14,"Персональные данные без утечек",IF(MIN(H14:M14)=K14,"Антифишинг: распознавание угроз",IF(MIN(H14:M14)=L14,"Безопасные платежи и госуслуги","Безопасность в соцсетях")))))</x:f>
        <x:v>Менеджер паролей и 2FA</x:v>
      </x:c>
      <x:c r="R14" s="12" t="str">
        <x:v>2026-04</x:v>
      </x:c>
      <x:c r="S14" s="12" t="str">
        <x:v>курс SafeNet</x:v>
      </x:c>
    </x:row>
    <x:row r="15">
      <x:c r="A15" s="12" t="n">
        <x:v>14</x:v>
      </x:c>
      <x:c r="B15" s="12" t="str">
        <x:v>Новосибирская область</x:v>
      </x:c>
      <x:c r="C15" s="12" t="str">
        <x:v>малый город</x:v>
      </x:c>
      <x:c r="D15" s="12" t="str">
        <x:v>14-17</x:v>
      </x:c>
      <x:c r="E15" s="12" t="str">
        <x:v>Мужской</x:v>
      </x:c>
      <x:c r="F15" s="12" t="str">
        <x:v>среднее</x:v>
      </x:c>
      <x:c r="G15" s="12" t="str">
        <x:v>постоянный</x:v>
      </x:c>
      <x:c r="H15" s="14" t="n">
        <x:v>58</x:v>
      </x:c>
      <x:c r="I15" s="14" t="n">
        <x:v>81</x:v>
      </x:c>
      <x:c r="J15" s="14" t="n">
        <x:v>85</x:v>
      </x:c>
      <x:c r="K15" s="14" t="n">
        <x:v>73</x:v>
      </x:c>
      <x:c r="L15" s="14" t="n">
        <x:v>70</x:v>
      </x:c>
      <x:c r="M15" s="14" t="n">
        <x:v>66</x:v>
      </x:c>
      <x:c r="N15" s="14" t="n">
        <x:f>ROUND(AVERAGE(H15:M15),0)</x:f>
        <x:v>72</x:v>
      </x:c>
      <x:c r="O15" s="12" t="str">
        <x:f>IF(N15&gt;=80,"Высокий",IF(N15&gt;=60,"Средний","Низкий"))</x:f>
        <x:v>Средний</x:v>
      </x:c>
      <x:c r="P15" s="12" t="str">
        <x:f>IF(N15&gt;=80,"Низкий",IF(N15&gt;=60,"Средний","Высокий"))</x:f>
        <x:v>Средний</x:v>
      </x:c>
      <x:c r="Q15" s="12" t="str">
        <x:f>IF(MIN(H15:M15)=H15,"Основы цифровой грамотности",IF(MIN(H15:M15)=I15,"Менеджер паролей и 2FA",IF(MIN(H15:M15)=J15,"Персональные данные без утечек",IF(MIN(H15:M15)=K15,"Антифишинг: распознавание угроз",IF(MIN(H15:M15)=L15,"Безопасные платежи и госуслуги","Безопасность в соцсетях")))))</x:f>
        <x:v>Основы цифровой грамотности</x:v>
      </x:c>
      <x:c r="R15" s="12" t="str">
        <x:v>2026-02</x:v>
      </x:c>
      <x:c r="S15" s="12" t="str">
        <x:v>опрос в центре</x:v>
      </x:c>
    </x:row>
    <x:row r="16">
      <x:c r="A16" s="12" t="n">
        <x:v>15</x:v>
      </x:c>
      <x:c r="B16" s="12" t="str">
        <x:v>Новосибирская область</x:v>
      </x:c>
      <x:c r="C16" s="12" t="str">
        <x:v>крупный город</x:v>
      </x:c>
      <x:c r="D16" s="12" t="str">
        <x:v>25-34</x:v>
      </x:c>
      <x:c r="E16" s="12" t="str">
        <x:v>Женский</x:v>
      </x:c>
      <x:c r="F16" s="12" t="str">
        <x:v>среднее</x:v>
      </x:c>
      <x:c r="G16" s="12" t="str">
        <x:v>постоянный</x:v>
      </x:c>
      <x:c r="H16" s="14" t="n">
        <x:v>62</x:v>
      </x:c>
      <x:c r="I16" s="14" t="n">
        <x:v>82</x:v>
      </x:c>
      <x:c r="J16" s="14" t="n">
        <x:v>94</x:v>
      </x:c>
      <x:c r="K16" s="14" t="n">
        <x:v>83</x:v>
      </x:c>
      <x:c r="L16" s="14" t="n">
        <x:v>82</x:v>
      </x:c>
      <x:c r="M16" s="14" t="n">
        <x:v>72</x:v>
      </x:c>
      <x:c r="N16" s="14" t="n">
        <x:f>ROUND(AVERAGE(H16:M16),0)</x:f>
        <x:v>79</x:v>
      </x:c>
      <x:c r="O16" s="12" t="str">
        <x:f>IF(N16&gt;=80,"Высокий",IF(N16&gt;=60,"Средний","Низкий"))</x:f>
        <x:v>Средний</x:v>
      </x:c>
      <x:c r="P16" s="12" t="str">
        <x:f>IF(N16&gt;=80,"Низкий",IF(N16&gt;=60,"Средний","Высокий"))</x:f>
        <x:v>Средний</x:v>
      </x:c>
      <x:c r="Q16" s="12" t="str">
        <x:f>IF(MIN(H16:M16)=H16,"Основы цифровой грамотности",IF(MIN(H16:M16)=I16,"Менеджер паролей и 2FA",IF(MIN(H16:M16)=J16,"Персональные данные без утечек",IF(MIN(H16:M16)=K16,"Антифишинг: распознавание угроз",IF(MIN(H16:M16)=L16,"Безопасные платежи и госуслуги","Безопасность в соцсетях")))))</x:f>
        <x:v>Основы цифровой грамотности</x:v>
      </x:c>
      <x:c r="R16" s="12" t="str">
        <x:v>2026-02</x:v>
      </x:c>
      <x:c r="S16" s="12" t="str">
        <x:v>опрос в центре</x:v>
      </x:c>
    </x:row>
    <x:row r="17">
      <x:c r="A17" s="12" t="n">
        <x:v>16</x:v>
      </x:c>
      <x:c r="B17" s="12" t="str">
        <x:v>Башкортостан</x:v>
      </x:c>
      <x:c r="C17" s="12" t="str">
        <x:v>крупный город</x:v>
      </x:c>
      <x:c r="D17" s="12" t="str">
        <x:v>25-34</x:v>
      </x:c>
      <x:c r="E17" s="12" t="str">
        <x:v>Мужской</x:v>
      </x:c>
      <x:c r="F17" s="12" t="str">
        <x:v>обучающийся</x:v>
      </x:c>
      <x:c r="G17" s="12" t="str">
        <x:v>постоянный</x:v>
      </x:c>
      <x:c r="H17" s="14" t="n">
        <x:v>91</x:v>
      </x:c>
      <x:c r="I17" s="14" t="n">
        <x:v>81</x:v>
      </x:c>
      <x:c r="J17" s="14" t="n">
        <x:v>86</x:v>
      </x:c>
      <x:c r="K17" s="14" t="n">
        <x:v>74</x:v>
      </x:c>
      <x:c r="L17" s="14" t="n">
        <x:v>81</x:v>
      </x:c>
      <x:c r="M17" s="14" t="n">
        <x:v>65</x:v>
      </x:c>
      <x:c r="N17" s="14" t="n">
        <x:f>ROUND(AVERAGE(H17:M17),0)</x:f>
        <x:v>80</x:v>
      </x:c>
      <x:c r="O17" s="12" t="str">
        <x:f>IF(N17&gt;=80,"Высокий",IF(N17&gt;=60,"Средний","Низкий"))</x:f>
        <x:v>Высокий</x:v>
      </x:c>
      <x:c r="P17" s="12" t="str">
        <x:f>IF(N17&gt;=80,"Низкий",IF(N17&gt;=60,"Средний","Высокий"))</x:f>
        <x:v>Низкий</x:v>
      </x:c>
      <x:c r="Q17" s="12" t="str">
        <x:f>IF(MIN(H17:M17)=H17,"Основы цифровой грамотности",IF(MIN(H17:M17)=I17,"Менеджер паролей и 2FA",IF(MIN(H17:M17)=J17,"Персональные данные без утечек",IF(MIN(H17:M17)=K17,"Антифишинг: распознавание угроз",IF(MIN(H17:M17)=L17,"Безопасные платежи и госуслуги","Безопасность в соцсетях")))))</x:f>
        <x:v>Безопасность в соцсетях</x:v>
      </x:c>
      <x:c r="R17" s="12" t="str">
        <x:v>2026-02</x:v>
      </x:c>
      <x:c r="S17" s="12" t="str">
        <x:v>опрос в центре</x:v>
      </x:c>
    </x:row>
    <x:row r="18">
      <x:c r="A18" s="12" t="n">
        <x:v>17</x:v>
      </x:c>
      <x:c r="B18" s="12" t="str">
        <x:v>Свердловская область</x:v>
      </x:c>
      <x:c r="C18" s="12" t="str">
        <x:v>крупный город</x:v>
      </x:c>
      <x:c r="D18" s="12" t="str">
        <x:v>18-24</x:v>
      </x:c>
      <x:c r="E18" s="12" t="str">
        <x:v>Женский</x:v>
      </x:c>
      <x:c r="F18" s="12" t="str">
        <x:v>среднее</x:v>
      </x:c>
      <x:c r="G18" s="12" t="str">
        <x:v>постоянный</x:v>
      </x:c>
      <x:c r="H18" s="14" t="n">
        <x:v>94</x:v>
      </x:c>
      <x:c r="I18" s="14" t="n">
        <x:v>84</x:v>
      </x:c>
      <x:c r="J18" s="14" t="n">
        <x:v>93</x:v>
      </x:c>
      <x:c r="K18" s="14" t="n">
        <x:v>83</x:v>
      </x:c>
      <x:c r="L18" s="14" t="n">
        <x:v>94</x:v>
      </x:c>
      <x:c r="M18" s="14" t="n">
        <x:v>74</x:v>
      </x:c>
      <x:c r="N18" s="14" t="n">
        <x:f>ROUND(AVERAGE(H18:M18),0)</x:f>
        <x:v>87</x:v>
      </x:c>
      <x:c r="O18" s="12" t="str">
        <x:f>IF(N18&gt;=80,"Высокий",IF(N18&gt;=60,"Средний","Низкий"))</x:f>
        <x:v>Высокий</x:v>
      </x:c>
      <x:c r="P18" s="12" t="str">
        <x:f>IF(N18&gt;=80,"Низкий",IF(N18&gt;=60,"Средний","Высокий"))</x:f>
        <x:v>Низкий</x:v>
      </x:c>
      <x:c r="Q18" s="12" t="str">
        <x:f>IF(MIN(H18:M18)=H18,"Основы цифровой грамотности",IF(MIN(H18:M18)=I18,"Менеджер паролей и 2FA",IF(MIN(H18:M18)=J18,"Персональные данные без утечек",IF(MIN(H18:M18)=K18,"Антифишинг: распознавание угроз",IF(MIN(H18:M18)=L18,"Безопасные платежи и госуслуги","Безопасность в соцсетях")))))</x:f>
        <x:v>Безопасность в соцсетях</x:v>
      </x:c>
      <x:c r="R18" s="12" t="str">
        <x:v>2026-02</x:v>
      </x:c>
      <x:c r="S18" s="12" t="str">
        <x:v>онлайн-анкета</x:v>
      </x:c>
    </x:row>
    <x:row r="19">
      <x:c r="A19" s="12" t="n">
        <x:v>18</x:v>
      </x:c>
      <x:c r="B19" s="12" t="str">
        <x:v>Пермский край</x:v>
      </x:c>
      <x:c r="C19" s="12" t="str">
        <x:v>село</x:v>
      </x:c>
      <x:c r="D19" s="12" t="str">
        <x:v>14-17</x:v>
      </x:c>
      <x:c r="E19" s="12" t="str">
        <x:v>Мужской</x:v>
      </x:c>
      <x:c r="F19" s="12" t="str">
        <x:v>высшее</x:v>
      </x:c>
      <x:c r="G19" s="12" t="str">
        <x:v>постоянный</x:v>
      </x:c>
      <x:c r="H19" s="14" t="n">
        <x:v>81</x:v>
      </x:c>
      <x:c r="I19" s="14" t="n">
        <x:v>59</x:v>
      </x:c>
      <x:c r="J19" s="14" t="n">
        <x:v>62</x:v>
      </x:c>
      <x:c r="K19" s="14" t="n">
        <x:v>61</x:v>
      </x:c>
      <x:c r="L19" s="14" t="n">
        <x:v>79</x:v>
      </x:c>
      <x:c r="M19" s="14" t="n">
        <x:v>70</x:v>
      </x:c>
      <x:c r="N19" s="14" t="n">
        <x:f>ROUND(AVERAGE(H19:M19),0)</x:f>
        <x:v>69</x:v>
      </x:c>
      <x:c r="O19" s="12" t="str">
        <x:f>IF(N19&gt;=80,"Высокий",IF(N19&gt;=60,"Средний","Низкий"))</x:f>
        <x:v>Средний</x:v>
      </x:c>
      <x:c r="P19" s="12" t="str">
        <x:f>IF(N19&gt;=80,"Низкий",IF(N19&gt;=60,"Средний","Высокий"))</x:f>
        <x:v>Средний</x:v>
      </x:c>
      <x:c r="Q19" s="12" t="str">
        <x:f>IF(MIN(H19:M19)=H19,"Основы цифровой грамотности",IF(MIN(H19:M19)=I19,"Менеджер паролей и 2FA",IF(MIN(H19:M19)=J19,"Персональные данные без утечек",IF(MIN(H19:M19)=K19,"Антифишинг: распознавание угроз",IF(MIN(H19:M19)=L19,"Безопасные платежи и госуслуги","Безопасность в соцсетях")))))</x:f>
        <x:v>Менеджер паролей и 2FA</x:v>
      </x:c>
      <x:c r="R19" s="12" t="str">
        <x:v>2026-02</x:v>
      </x:c>
      <x:c r="S19" s="12" t="str">
        <x:v>школьный модуль</x:v>
      </x:c>
    </x:row>
    <x:row r="20">
      <x:c r="A20" s="12" t="n">
        <x:v>19</x:v>
      </x:c>
      <x:c r="B20" s="12" t="str">
        <x:v>Новосибирская область</x:v>
      </x:c>
      <x:c r="C20" s="12" t="str">
        <x:v>крупный город</x:v>
      </x:c>
      <x:c r="D20" s="12" t="str">
        <x:v>18-24</x:v>
      </x:c>
      <x:c r="E20" s="12" t="str">
        <x:v>Женский</x:v>
      </x:c>
      <x:c r="F20" s="12" t="str">
        <x:v>среднее</x:v>
      </x:c>
      <x:c r="G20" s="12" t="str">
        <x:v>постоянный</x:v>
      </x:c>
      <x:c r="H20" s="14" t="n">
        <x:v>64</x:v>
      </x:c>
      <x:c r="I20" s="14" t="n">
        <x:v>87</x:v>
      </x:c>
      <x:c r="J20" s="14" t="n">
        <x:v>83</x:v>
      </x:c>
      <x:c r="K20" s="14" t="n">
        <x:v>78</x:v>
      </x:c>
      <x:c r="L20" s="14" t="n">
        <x:v>74</x:v>
      </x:c>
      <x:c r="M20" s="14" t="n">
        <x:v>71</x:v>
      </x:c>
      <x:c r="N20" s="14" t="n">
        <x:f>ROUND(AVERAGE(H20:M20),0)</x:f>
        <x:v>76</x:v>
      </x:c>
      <x:c r="O20" s="12" t="str">
        <x:f>IF(N20&gt;=80,"Высокий",IF(N20&gt;=60,"Средний","Низкий"))</x:f>
        <x:v>Средний</x:v>
      </x:c>
      <x:c r="P20" s="12" t="str">
        <x:f>IF(N20&gt;=80,"Низкий",IF(N20&gt;=60,"Средний","Высокий"))</x:f>
        <x:v>Средний</x:v>
      </x:c>
      <x:c r="Q20" s="12" t="str">
        <x:f>IF(MIN(H20:M20)=H20,"Основы цифровой грамотности",IF(MIN(H20:M20)=I20,"Менеджер паролей и 2FA",IF(MIN(H20:M20)=J20,"Персональные данные без утечек",IF(MIN(H20:M20)=K20,"Антифишинг: распознавание угроз",IF(MIN(H20:M20)=L20,"Безопасные платежи и госуслуги","Безопасность в соцсетях")))))</x:f>
        <x:v>Основы цифровой грамотности</x:v>
      </x:c>
      <x:c r="R20" s="12" t="str">
        <x:v>2026-05</x:v>
      </x:c>
      <x:c r="S20" s="12" t="str">
        <x:v>опрос в центре</x:v>
      </x:c>
    </x:row>
    <x:row r="21">
      <x:c r="A21" s="12" t="n">
        <x:v>20</x:v>
      </x:c>
      <x:c r="B21" s="12" t="str">
        <x:v>Ростовская область</x:v>
      </x:c>
      <x:c r="C21" s="12" t="str">
        <x:v>село</x:v>
      </x:c>
      <x:c r="D21" s="12" t="str">
        <x:v>18-24</x:v>
      </x:c>
      <x:c r="E21" s="12" t="str">
        <x:v>Женский</x:v>
      </x:c>
      <x:c r="F21" s="12" t="str">
        <x:v>высшее</x:v>
      </x:c>
      <x:c r="G21" s="12" t="str">
        <x:v>нестабильный</x:v>
      </x:c>
      <x:c r="H21" s="14" t="n">
        <x:v>77</x:v>
      </x:c>
      <x:c r="I21" s="14" t="n">
        <x:v>58</x:v>
      </x:c>
      <x:c r="J21" s="14" t="n">
        <x:v>76</x:v>
      </x:c>
      <x:c r="K21" s="14" t="n">
        <x:v>79</x:v>
      </x:c>
      <x:c r="L21" s="14" t="n">
        <x:v>63</x:v>
      </x:c>
      <x:c r="M21" s="14" t="n">
        <x:v>51</x:v>
      </x:c>
      <x:c r="N21" s="14" t="n">
        <x:f>ROUND(AVERAGE(H21:M21),0)</x:f>
        <x:v>67</x:v>
      </x:c>
      <x:c r="O21" s="12" t="str">
        <x:f>IF(N21&gt;=80,"Высокий",IF(N21&gt;=60,"Средний","Низкий"))</x:f>
        <x:v>Средний</x:v>
      </x:c>
      <x:c r="P21" s="12" t="str">
        <x:f>IF(N21&gt;=80,"Низкий",IF(N21&gt;=60,"Средний","Высокий"))</x:f>
        <x:v>Средний</x:v>
      </x:c>
      <x:c r="Q21" s="12" t="str">
        <x:f>IF(MIN(H21:M21)=H21,"Основы цифровой грамотности",IF(MIN(H21:M21)=I21,"Менеджер паролей и 2FA",IF(MIN(H21:M21)=J21,"Персональные данные без утечек",IF(MIN(H21:M21)=K21,"Антифишинг: распознавание угроз",IF(MIN(H21:M21)=L21,"Безопасные платежи и госуслуги","Безопасность в соцсетях")))))</x:f>
        <x:v>Безопасность в соцсетях</x:v>
      </x:c>
      <x:c r="R21" s="12" t="str">
        <x:v>2026-06</x:v>
      </x:c>
      <x:c r="S21" s="12" t="str">
        <x:v>онлайн-анкета</x:v>
      </x:c>
    </x:row>
    <x:row r="22">
      <x:c r="A22" s="12" t="n">
        <x:v>21</x:v>
      </x:c>
      <x:c r="B22" s="12" t="str">
        <x:v>Татарстан</x:v>
      </x:c>
      <x:c r="C22" s="12" t="str">
        <x:v>село</x:v>
      </x:c>
      <x:c r="D22" s="12" t="str">
        <x:v>18-24</x:v>
      </x:c>
      <x:c r="E22" s="12" t="str">
        <x:v>Мужской</x:v>
      </x:c>
      <x:c r="F22" s="12" t="str">
        <x:v>высшее</x:v>
      </x:c>
      <x:c r="G22" s="12" t="str">
        <x:v>постоянный</x:v>
      </x:c>
      <x:c r="H22" s="14" t="n">
        <x:v>80</x:v>
      </x:c>
      <x:c r="I22" s="14" t="n">
        <x:v>77</x:v>
      </x:c>
      <x:c r="J22" s="14" t="n">
        <x:v>73</x:v>
      </x:c>
      <x:c r="K22" s="14" t="n">
        <x:v>77</x:v>
      </x:c>
      <x:c r="L22" s="14" t="n">
        <x:v>65</x:v>
      </x:c>
      <x:c r="M22" s="14" t="n">
        <x:v>51</x:v>
      </x:c>
      <x:c r="N22" s="14" t="n">
        <x:f>ROUND(AVERAGE(H22:M22),0)</x:f>
        <x:v>71</x:v>
      </x:c>
      <x:c r="O22" s="12" t="str">
        <x:f>IF(N22&gt;=80,"Высокий",IF(N22&gt;=60,"Средний","Низкий"))</x:f>
        <x:v>Средний</x:v>
      </x:c>
      <x:c r="P22" s="12" t="str">
        <x:f>IF(N22&gt;=80,"Низкий",IF(N22&gt;=60,"Средний","Высокий"))</x:f>
        <x:v>Средний</x:v>
      </x:c>
      <x:c r="Q22" s="12" t="str">
        <x:f>IF(MIN(H22:M22)=H22,"Основы цифровой грамотности",IF(MIN(H22:M22)=I22,"Менеджер паролей и 2FA",IF(MIN(H22:M22)=J22,"Персональные данные без утечек",IF(MIN(H22:M22)=K22,"Антифишинг: распознавание угроз",IF(MIN(H22:M22)=L22,"Безопасные платежи и госуслуги","Безопасность в соцсетях")))))</x:f>
        <x:v>Безопасность в соцсетях</x:v>
      </x:c>
      <x:c r="R22" s="12" t="str">
        <x:v>2026-01</x:v>
      </x:c>
      <x:c r="S22" s="12" t="str">
        <x:v>онлайн-анкета</x:v>
      </x:c>
    </x:row>
    <x:row r="23">
      <x:c r="A23" s="12" t="n">
        <x:v>22</x:v>
      </x:c>
      <x:c r="B23" s="12" t="str">
        <x:v>Нижегородская область</x:v>
      </x:c>
      <x:c r="C23" s="12" t="str">
        <x:v>крупный город</x:v>
      </x:c>
      <x:c r="D23" s="12" t="str">
        <x:v>25-34</x:v>
      </x:c>
      <x:c r="E23" s="12" t="str">
        <x:v>Женский</x:v>
      </x:c>
      <x:c r="F23" s="12" t="str">
        <x:v>среднее</x:v>
      </x:c>
      <x:c r="G23" s="12" t="str">
        <x:v>постоянный</x:v>
      </x:c>
      <x:c r="H23" s="14" t="n">
        <x:v>84</x:v>
      </x:c>
      <x:c r="I23" s="14" t="n">
        <x:v>63</x:v>
      </x:c>
      <x:c r="J23" s="14" t="n">
        <x:v>77</x:v>
      </x:c>
      <x:c r="K23" s="14" t="n">
        <x:v>91</x:v>
      </x:c>
      <x:c r="L23" s="14" t="n">
        <x:v>69</x:v>
      </x:c>
      <x:c r="M23" s="14" t="n">
        <x:v>73</x:v>
      </x:c>
      <x:c r="N23" s="14" t="n">
        <x:f>ROUND(AVERAGE(H23:M23),0)</x:f>
        <x:v>76</x:v>
      </x:c>
      <x:c r="O23" s="12" t="str">
        <x:f>IF(N23&gt;=80,"Высокий",IF(N23&gt;=60,"Средний","Низкий"))</x:f>
        <x:v>Средний</x:v>
      </x:c>
      <x:c r="P23" s="12" t="str">
        <x:f>IF(N23&gt;=80,"Низкий",IF(N23&gt;=60,"Средний","Высокий"))</x:f>
        <x:v>Средний</x:v>
      </x:c>
      <x:c r="Q23" s="12" t="str">
        <x:f>IF(MIN(H23:M23)=H23,"Основы цифровой грамотности",IF(MIN(H23:M23)=I23,"Менеджер паролей и 2FA",IF(MIN(H23:M23)=J23,"Персональные данные без утечек",IF(MIN(H23:M23)=K23,"Антифишинг: распознавание угроз",IF(MIN(H23:M23)=L23,"Безопасные платежи и госуслуги","Безопасность в соцсетях")))))</x:f>
        <x:v>Менеджер паролей и 2FA</x:v>
      </x:c>
      <x:c r="R23" s="12" t="str">
        <x:v>2026-01</x:v>
      </x:c>
      <x:c r="S23" s="12" t="str">
        <x:v>опрос в центре</x:v>
      </x:c>
    </x:row>
    <x:row r="24">
      <x:c r="A24" s="12" t="n">
        <x:v>23</x:v>
      </x:c>
      <x:c r="B24" s="12" t="str">
        <x:v>Ростовская область</x:v>
      </x:c>
      <x:c r="C24" s="12" t="str">
        <x:v>крупный город</x:v>
      </x:c>
      <x:c r="D24" s="12" t="str">
        <x:v>14-17</x:v>
      </x:c>
      <x:c r="E24" s="12" t="str">
        <x:v>Мужской</x:v>
      </x:c>
      <x:c r="F24" s="12" t="str">
        <x:v>среднее специальное</x:v>
      </x:c>
      <x:c r="G24" s="12" t="str">
        <x:v>постоянный</x:v>
      </x:c>
      <x:c r="H24" s="14" t="n">
        <x:v>77</x:v>
      </x:c>
      <x:c r="I24" s="14" t="n">
        <x:v>76</x:v>
      </x:c>
      <x:c r="J24" s="14" t="n">
        <x:v>61</x:v>
      </x:c>
      <x:c r="K24" s="14" t="n">
        <x:v>90</x:v>
      </x:c>
      <x:c r="L24" s="14" t="n">
        <x:v>80</x:v>
      </x:c>
      <x:c r="M24" s="14" t="n">
        <x:v>74</x:v>
      </x:c>
      <x:c r="N24" s="14" t="n">
        <x:f>ROUND(AVERAGE(H24:M24),0)</x:f>
        <x:v>76</x:v>
      </x:c>
      <x:c r="O24" s="12" t="str">
        <x:f>IF(N24&gt;=80,"Высокий",IF(N24&gt;=60,"Средний","Низкий"))</x:f>
        <x:v>Средний</x:v>
      </x:c>
      <x:c r="P24" s="12" t="str">
        <x:f>IF(N24&gt;=80,"Низкий",IF(N24&gt;=60,"Средний","Высокий"))</x:f>
        <x:v>Средний</x:v>
      </x:c>
      <x:c r="Q24" s="12" t="str">
        <x:f>IF(MIN(H24:M24)=H24,"Основы цифровой грамотности",IF(MIN(H24:M24)=I24,"Менеджер паролей и 2FA",IF(MIN(H24:M24)=J24,"Персональные данные без утечек",IF(MIN(H24:M24)=K24,"Антифишинг: распознавание угроз",IF(MIN(H24:M24)=L24,"Безопасные платежи и госуслуги","Безопасность в соцсетях")))))</x:f>
        <x:v>Персональные данные без утечек</x:v>
      </x:c>
      <x:c r="R24" s="12" t="str">
        <x:v>2026-06</x:v>
      </x:c>
      <x:c r="S24" s="12" t="str">
        <x:v>опрос в центре</x:v>
      </x:c>
    </x:row>
    <x:row r="25">
      <x:c r="A25" s="12" t="n">
        <x:v>24</x:v>
      </x:c>
      <x:c r="B25" s="12" t="str">
        <x:v>Нижегородская область</x:v>
      </x:c>
      <x:c r="C25" s="12" t="str">
        <x:v>малый город</x:v>
      </x:c>
      <x:c r="D25" s="12" t="str">
        <x:v>18-24</x:v>
      </x:c>
      <x:c r="E25" s="12" t="str">
        <x:v>Женский</x:v>
      </x:c>
      <x:c r="F25" s="12" t="str">
        <x:v>обучающийся</x:v>
      </x:c>
      <x:c r="G25" s="12" t="str">
        <x:v>нестабильный</x:v>
      </x:c>
      <x:c r="H25" s="14" t="n">
        <x:v>64</x:v>
      </x:c>
      <x:c r="I25" s="14" t="n">
        <x:v>79</x:v>
      </x:c>
      <x:c r="J25" s="14" t="n">
        <x:v>85</x:v>
      </x:c>
      <x:c r="K25" s="14" t="n">
        <x:v>88</x:v>
      </x:c>
      <x:c r="L25" s="14" t="n">
        <x:v>91</x:v>
      </x:c>
      <x:c r="M25" s="14" t="n">
        <x:v>49</x:v>
      </x:c>
      <x:c r="N25" s="14" t="n">
        <x:f>ROUND(AVERAGE(H25:M25),0)</x:f>
        <x:v>76</x:v>
      </x:c>
      <x:c r="O25" s="12" t="str">
        <x:f>IF(N25&gt;=80,"Высокий",IF(N25&gt;=60,"Средний","Низкий"))</x:f>
        <x:v>Средний</x:v>
      </x:c>
      <x:c r="P25" s="12" t="str">
        <x:f>IF(N25&gt;=80,"Низкий",IF(N25&gt;=60,"Средний","Высокий"))</x:f>
        <x:v>Средний</x:v>
      </x:c>
      <x:c r="Q25" s="12" t="str">
        <x:f>IF(MIN(H25:M25)=H25,"Основы цифровой грамотности",IF(MIN(H25:M25)=I25,"Менеджер паролей и 2FA",IF(MIN(H25:M25)=J25,"Персональные данные без утечек",IF(MIN(H25:M25)=K25,"Антифишинг: распознавание угроз",IF(MIN(H25:M25)=L25,"Безопасные платежи и госуслуги","Безопасность в соцсетях")))))</x:f>
        <x:v>Безопасность в соцсетях</x:v>
      </x:c>
      <x:c r="R25" s="12" t="str">
        <x:v>2026-01</x:v>
      </x:c>
      <x:c r="S25" s="12" t="str">
        <x:v>опрос в центре</x:v>
      </x:c>
    </x:row>
    <x:row r="26">
      <x:c r="A26" s="12" t="n">
        <x:v>25</x:v>
      </x:c>
      <x:c r="B26" s="12" t="str">
        <x:v>Приморский край</x:v>
      </x:c>
      <x:c r="C26" s="12" t="str">
        <x:v>малый город</x:v>
      </x:c>
      <x:c r="D26" s="12" t="str">
        <x:v>60+</x:v>
      </x:c>
      <x:c r="E26" s="12" t="str">
        <x:v>Женский</x:v>
      </x:c>
      <x:c r="F26" s="12" t="str">
        <x:v>обучающийся</x:v>
      </x:c>
      <x:c r="G26" s="12" t="str">
        <x:v>постоянный</x:v>
      </x:c>
      <x:c r="H26" s="14" t="n">
        <x:v>42</x:v>
      </x:c>
      <x:c r="I26" s="14" t="n">
        <x:v>31</x:v>
      </x:c>
      <x:c r="J26" s="14" t="n">
        <x:v>46</x:v>
      </x:c>
      <x:c r="K26" s="14" t="n">
        <x:v>49</x:v>
      </x:c>
      <x:c r="L26" s="14" t="n">
        <x:v>44</x:v>
      </x:c>
      <x:c r="M26" s="14" t="n">
        <x:v>35</x:v>
      </x:c>
      <x:c r="N26" s="14" t="n">
        <x:f>ROUND(AVERAGE(H26:M26),0)</x:f>
        <x:v>41</x:v>
      </x:c>
      <x:c r="O26" s="12" t="str">
        <x:f>IF(N26&gt;=80,"Высокий",IF(N26&gt;=60,"Средний","Низкий"))</x:f>
        <x:v>Низкий</x:v>
      </x:c>
      <x:c r="P26" s="12" t="str">
        <x:f>IF(N26&gt;=80,"Низкий",IF(N26&gt;=60,"Средний","Высокий"))</x:f>
        <x:v>Высокий</x:v>
      </x:c>
      <x:c r="Q26" s="12" t="str">
        <x:f>IF(MIN(H26:M26)=H26,"Основы цифровой грамотности",IF(MIN(H26:M26)=I26,"Менеджер паролей и 2FA",IF(MIN(H26:M26)=J26,"Персональные данные без утечек",IF(MIN(H26:M26)=K26,"Антифишинг: распознавание угроз",IF(MIN(H26:M26)=L26,"Безопасные платежи и госуслуги","Безопасность в соцсетях")))))</x:f>
        <x:v>Менеджер паролей и 2FA</x:v>
      </x:c>
      <x:c r="R26" s="12" t="str">
        <x:v>2026-02</x:v>
      </x:c>
      <x:c r="S26" s="12" t="str">
        <x:v>опрос в центре</x:v>
      </x:c>
    </x:row>
    <x:row r="27">
      <x:c r="A27" s="12" t="n">
        <x:v>26</x:v>
      </x:c>
      <x:c r="B27" s="12" t="str">
        <x:v>Самарская область</x:v>
      </x:c>
      <x:c r="C27" s="12" t="str">
        <x:v>малый город</x:v>
      </x:c>
      <x:c r="D27" s="12" t="str">
        <x:v>25-34</x:v>
      </x:c>
      <x:c r="E27" s="12" t="str">
        <x:v>Мужской</x:v>
      </x:c>
      <x:c r="F27" s="12" t="str">
        <x:v>обучающийся</x:v>
      </x:c>
      <x:c r="G27" s="12" t="str">
        <x:v>нестабильный</x:v>
      </x:c>
      <x:c r="H27" s="14" t="n">
        <x:v>74</x:v>
      </x:c>
      <x:c r="I27" s="14" t="n">
        <x:v>81</x:v>
      </x:c>
      <x:c r="J27" s="14" t="n">
        <x:v>62</x:v>
      </x:c>
      <x:c r="K27" s="14" t="n">
        <x:v>70</x:v>
      </x:c>
      <x:c r="L27" s="14" t="n">
        <x:v>85</x:v>
      </x:c>
      <x:c r="M27" s="14" t="n">
        <x:v>73</x:v>
      </x:c>
      <x:c r="N27" s="14" t="n">
        <x:f>ROUND(AVERAGE(H27:M27),0)</x:f>
        <x:v>74</x:v>
      </x:c>
      <x:c r="O27" s="12" t="str">
        <x:f>IF(N27&gt;=80,"Высокий",IF(N27&gt;=60,"Средний","Низкий"))</x:f>
        <x:v>Средний</x:v>
      </x:c>
      <x:c r="P27" s="12" t="str">
        <x:f>IF(N27&gt;=80,"Низкий",IF(N27&gt;=60,"Средний","Высокий"))</x:f>
        <x:v>Средний</x:v>
      </x:c>
      <x:c r="Q27" s="12" t="str">
        <x:f>IF(MIN(H27:M27)=H27,"Основы цифровой грамотности",IF(MIN(H27:M27)=I27,"Менеджер паролей и 2FA",IF(MIN(H27:M27)=J27,"Персональные данные без утечек",IF(MIN(H27:M27)=K27,"Антифишинг: распознавание угроз",IF(MIN(H27:M27)=L27,"Безопасные платежи и госуслуги","Безопасность в соцсетях")))))</x:f>
        <x:v>Персональные данные без утечек</x:v>
      </x:c>
      <x:c r="R27" s="12" t="str">
        <x:v>2026-06</x:v>
      </x:c>
      <x:c r="S27" s="12" t="str">
        <x:v>школьный модуль</x:v>
      </x:c>
    </x:row>
    <x:row r="28">
      <x:c r="A28" s="12" t="n">
        <x:v>27</x:v>
      </x:c>
      <x:c r="B28" s="12" t="str">
        <x:v>Москва</x:v>
      </x:c>
      <x:c r="C28" s="12" t="str">
        <x:v>село</x:v>
      </x:c>
      <x:c r="D28" s="12" t="str">
        <x:v>18-24</x:v>
      </x:c>
      <x:c r="E28" s="12" t="str">
        <x:v>Женский</x:v>
      </x:c>
      <x:c r="F28" s="12" t="str">
        <x:v>обучающийся</x:v>
      </x:c>
      <x:c r="G28" s="12" t="str">
        <x:v>постоянный</x:v>
      </x:c>
      <x:c r="H28" s="14" t="n">
        <x:v>83</x:v>
      </x:c>
      <x:c r="I28" s="14" t="n">
        <x:v>68</x:v>
      </x:c>
      <x:c r="J28" s="14" t="n">
        <x:v>79</x:v>
      </x:c>
      <x:c r="K28" s="14" t="n">
        <x:v>75</x:v>
      </x:c>
      <x:c r="L28" s="14" t="n">
        <x:v>71</x:v>
      </x:c>
      <x:c r="M28" s="14" t="n">
        <x:v>60</x:v>
      </x:c>
      <x:c r="N28" s="14" t="n">
        <x:f>ROUND(AVERAGE(H28:M28),0)</x:f>
        <x:v>73</x:v>
      </x:c>
      <x:c r="O28" s="12" t="str">
        <x:f>IF(N28&gt;=80,"Высокий",IF(N28&gt;=60,"Средний","Низкий"))</x:f>
        <x:v>Средний</x:v>
      </x:c>
      <x:c r="P28" s="12" t="str">
        <x:f>IF(N28&gt;=80,"Низкий",IF(N28&gt;=60,"Средний","Высокий"))</x:f>
        <x:v>Средний</x:v>
      </x:c>
      <x:c r="Q28" s="12" t="str">
        <x:f>IF(MIN(H28:M28)=H28,"Основы цифровой грамотности",IF(MIN(H28:M28)=I28,"Менеджер паролей и 2FA",IF(MIN(H28:M28)=J28,"Персональные данные без утечек",IF(MIN(H28:M28)=K28,"Антифишинг: распознавание угроз",IF(MIN(H28:M28)=L28,"Безопасные платежи и госуслуги","Безопасность в соцсетях")))))</x:f>
        <x:v>Безопасность в соцсетях</x:v>
      </x:c>
      <x:c r="R28" s="12" t="str">
        <x:v>2026-05</x:v>
      </x:c>
      <x:c r="S28" s="12" t="str">
        <x:v>опрос в центре</x:v>
      </x:c>
    </x:row>
    <x:row r="29">
      <x:c r="A29" s="12" t="n">
        <x:v>28</x:v>
      </x:c>
      <x:c r="B29" s="12" t="str">
        <x:v>Свердловская область</x:v>
      </x:c>
      <x:c r="C29" s="12" t="str">
        <x:v>крупный город</x:v>
      </x:c>
      <x:c r="D29" s="12" t="str">
        <x:v>14-17</x:v>
      </x:c>
      <x:c r="E29" s="12" t="str">
        <x:v>Мужской</x:v>
      </x:c>
      <x:c r="F29" s="12" t="str">
        <x:v>высшее</x:v>
      </x:c>
      <x:c r="G29" s="12" t="str">
        <x:v>постоянный</x:v>
      </x:c>
      <x:c r="H29" s="14" t="n">
        <x:v>85</x:v>
      </x:c>
      <x:c r="I29" s="14" t="n">
        <x:v>61</x:v>
      </x:c>
      <x:c r="J29" s="14" t="n">
        <x:v>91</x:v>
      </x:c>
      <x:c r="K29" s="14" t="n">
        <x:v>67</x:v>
      </x:c>
      <x:c r="L29" s="14" t="n">
        <x:v>80</x:v>
      </x:c>
      <x:c r="M29" s="14" t="n">
        <x:v>84</x:v>
      </x:c>
      <x:c r="N29" s="14" t="n">
        <x:f>ROUND(AVERAGE(H29:M29),0)</x:f>
        <x:v>78</x:v>
      </x:c>
      <x:c r="O29" s="12" t="str">
        <x:f>IF(N29&gt;=80,"Высокий",IF(N29&gt;=60,"Средний","Низкий"))</x:f>
        <x:v>Средний</x:v>
      </x:c>
      <x:c r="P29" s="12" t="str">
        <x:f>IF(N29&gt;=80,"Низкий",IF(N29&gt;=60,"Средний","Высокий"))</x:f>
        <x:v>Средний</x:v>
      </x:c>
      <x:c r="Q29" s="12" t="str">
        <x:f>IF(MIN(H29:M29)=H29,"Основы цифровой грамотности",IF(MIN(H29:M29)=I29,"Менеджер паролей и 2FA",IF(MIN(H29:M29)=J29,"Персональные данные без утечек",IF(MIN(H29:M29)=K29,"Антифишинг: распознавание угроз",IF(MIN(H29:M29)=L29,"Безопасные платежи и госуслуги","Безопасность в соцсетях")))))</x:f>
        <x:v>Менеджер паролей и 2FA</x:v>
      </x:c>
      <x:c r="R29" s="12" t="str">
        <x:v>2026-06</x:v>
      </x:c>
      <x:c r="S29" s="12" t="str">
        <x:v>онлайн-анкета</x:v>
      </x:c>
    </x:row>
    <x:row r="30">
      <x:c r="A30" s="12" t="n">
        <x:v>29</x:v>
      </x:c>
      <x:c r="B30" s="12" t="str">
        <x:v>Приморский край</x:v>
      </x:c>
      <x:c r="C30" s="12" t="str">
        <x:v>крупный город</x:v>
      </x:c>
      <x:c r="D30" s="12" t="str">
        <x:v>45-60</x:v>
      </x:c>
      <x:c r="E30" s="12" t="str">
        <x:v>Женский</x:v>
      </x:c>
      <x:c r="F30" s="12" t="str">
        <x:v>высшее</x:v>
      </x:c>
      <x:c r="G30" s="12" t="str">
        <x:v>постоянный</x:v>
      </x:c>
      <x:c r="H30" s="14" t="n">
        <x:v>59</x:v>
      </x:c>
      <x:c r="I30" s="14" t="n">
        <x:v>75</x:v>
      </x:c>
      <x:c r="J30" s="14" t="n">
        <x:v>56</x:v>
      </x:c>
      <x:c r="K30" s="14" t="n">
        <x:v>57</x:v>
      </x:c>
      <x:c r="L30" s="14" t="n">
        <x:v>58</x:v>
      </x:c>
      <x:c r="M30" s="14" t="n">
        <x:v>52</x:v>
      </x:c>
      <x:c r="N30" s="14" t="n">
        <x:f>ROUND(AVERAGE(H30:M30),0)</x:f>
        <x:v>60</x:v>
      </x:c>
      <x:c r="O30" s="12" t="str">
        <x:f>IF(N30&gt;=80,"Высокий",IF(N30&gt;=60,"Средний","Низкий"))</x:f>
        <x:v>Средний</x:v>
      </x:c>
      <x:c r="P30" s="12" t="str">
        <x:f>IF(N30&gt;=80,"Низкий",IF(N30&gt;=60,"Средний","Высокий"))</x:f>
        <x:v>Средний</x:v>
      </x:c>
      <x:c r="Q30" s="12" t="str">
        <x:f>IF(MIN(H30:M30)=H30,"Основы цифровой грамотности",IF(MIN(H30:M30)=I30,"Менеджер паролей и 2FA",IF(MIN(H30:M30)=J30,"Персональные данные без утечек",IF(MIN(H30:M30)=K30,"Антифишинг: распознавание угроз",IF(MIN(H30:M30)=L30,"Безопасные платежи и госуслуги","Безопасность в соцсетях")))))</x:f>
        <x:v>Безопасность в соцсетях</x:v>
      </x:c>
      <x:c r="R30" s="12" t="str">
        <x:v>2026-04</x:v>
      </x:c>
      <x:c r="S30" s="12" t="str">
        <x:v>онлайн-анкета</x:v>
      </x:c>
    </x:row>
    <x:row r="31">
      <x:c r="A31" s="12" t="n">
        <x:v>30</x:v>
      </x:c>
      <x:c r="B31" s="12" t="str">
        <x:v>Свердловская область</x:v>
      </x:c>
      <x:c r="C31" s="12" t="str">
        <x:v>крупный город</x:v>
      </x:c>
      <x:c r="D31" s="12" t="str">
        <x:v>18-24</x:v>
      </x:c>
      <x:c r="E31" s="12" t="str">
        <x:v>Женский</x:v>
      </x:c>
      <x:c r="F31" s="12" t="str">
        <x:v>среднее</x:v>
      </x:c>
      <x:c r="G31" s="12" t="str">
        <x:v>постоянный</x:v>
      </x:c>
      <x:c r="H31" s="14" t="n">
        <x:v>80</x:v>
      </x:c>
      <x:c r="I31" s="14" t="n">
        <x:v>72</x:v>
      </x:c>
      <x:c r="J31" s="14" t="n">
        <x:v>76</x:v>
      </x:c>
      <x:c r="K31" s="14" t="n">
        <x:v>81</x:v>
      </x:c>
      <x:c r="L31" s="14" t="n">
        <x:v>62</x:v>
      </x:c>
      <x:c r="M31" s="14" t="n">
        <x:v>84</x:v>
      </x:c>
      <x:c r="N31" s="14" t="n">
        <x:f>ROUND(AVERAGE(H31:M31),0)</x:f>
        <x:v>76</x:v>
      </x:c>
      <x:c r="O31" s="12" t="str">
        <x:f>IF(N31&gt;=80,"Высокий",IF(N31&gt;=60,"Средний","Низкий"))</x:f>
        <x:v>Средний</x:v>
      </x:c>
      <x:c r="P31" s="12" t="str">
        <x:f>IF(N31&gt;=80,"Низкий",IF(N31&gt;=60,"Средний","Высокий"))</x:f>
        <x:v>Средний</x:v>
      </x:c>
      <x:c r="Q31" s="12" t="str">
        <x:f>IF(MIN(H31:M31)=H31,"Основы цифровой грамотности",IF(MIN(H31:M31)=I31,"Менеджер паролей и 2FA",IF(MIN(H31:M31)=J31,"Персональные данные без утечек",IF(MIN(H31:M31)=K31,"Антифишинг: распознавание угроз",IF(MIN(H31:M31)=L31,"Безопасные платежи и госуслуги","Безопасность в соцсетях")))))</x:f>
        <x:v>Безопасные платежи и госуслуги</x:v>
      </x:c>
      <x:c r="R31" s="12" t="str">
        <x:v>2026-03</x:v>
      </x:c>
      <x:c r="S31" s="12" t="str">
        <x:v>школьный модуль</x:v>
      </x:c>
    </x:row>
    <x:row r="32">
      <x:c r="A32" s="12" t="n">
        <x:v>31</x:v>
      </x:c>
      <x:c r="B32" s="12" t="str">
        <x:v>Санкт-Петербург</x:v>
      </x:c>
      <x:c r="C32" s="12" t="str">
        <x:v>малый город</x:v>
      </x:c>
      <x:c r="D32" s="12" t="str">
        <x:v>45-60</x:v>
      </x:c>
      <x:c r="E32" s="12" t="str">
        <x:v>Женский</x:v>
      </x:c>
      <x:c r="F32" s="12" t="str">
        <x:v>обучающийся</x:v>
      </x:c>
      <x:c r="G32" s="12" t="str">
        <x:v>постоянный</x:v>
      </x:c>
      <x:c r="H32" s="14" t="n">
        <x:v>62</x:v>
      </x:c>
      <x:c r="I32" s="14" t="n">
        <x:v>63</x:v>
      </x:c>
      <x:c r="J32" s="14" t="n">
        <x:v>64</x:v>
      </x:c>
      <x:c r="K32" s="14" t="n">
        <x:v>55</x:v>
      </x:c>
      <x:c r="L32" s="14" t="n">
        <x:v>39</x:v>
      </x:c>
      <x:c r="M32" s="14" t="n">
        <x:v>58</x:v>
      </x:c>
      <x:c r="N32" s="14" t="n">
        <x:f>ROUND(AVERAGE(H32:M32),0)</x:f>
        <x:v>57</x:v>
      </x:c>
      <x:c r="O32" s="12" t="str">
        <x:f>IF(N32&gt;=80,"Высокий",IF(N32&gt;=60,"Средний","Низкий"))</x:f>
        <x:v>Низкий</x:v>
      </x:c>
      <x:c r="P32" s="12" t="str">
        <x:f>IF(N32&gt;=80,"Низкий",IF(N32&gt;=60,"Средний","Высокий"))</x:f>
        <x:v>Высокий</x:v>
      </x:c>
      <x:c r="Q32" s="12" t="str">
        <x:f>IF(MIN(H32:M32)=H32,"Основы цифровой грамотности",IF(MIN(H32:M32)=I32,"Менеджер паролей и 2FA",IF(MIN(H32:M32)=J32,"Персональные данные без утечек",IF(MIN(H32:M32)=K32,"Антифишинг: распознавание угроз",IF(MIN(H32:M32)=L32,"Безопасные платежи и госуслуги","Безопасность в соцсетях")))))</x:f>
        <x:v>Безопасные платежи и госуслуги</x:v>
      </x:c>
      <x:c r="R32" s="12" t="str">
        <x:v>2026-04</x:v>
      </x:c>
      <x:c r="S32" s="12" t="str">
        <x:v>опрос в центре</x:v>
      </x:c>
    </x:row>
    <x:row r="33">
      <x:c r="A33" s="12" t="n">
        <x:v>32</x:v>
      </x:c>
      <x:c r="B33" s="12" t="str">
        <x:v>Приморский край</x:v>
      </x:c>
      <x:c r="C33" s="12" t="str">
        <x:v>крупный город</x:v>
      </x:c>
      <x:c r="D33" s="12" t="str">
        <x:v>35-44</x:v>
      </x:c>
      <x:c r="E33" s="12" t="str">
        <x:v>Женский</x:v>
      </x:c>
      <x:c r="F33" s="12" t="str">
        <x:v>обучающийся</x:v>
      </x:c>
      <x:c r="G33" s="12" t="str">
        <x:v>постоянный</x:v>
      </x:c>
      <x:c r="H33" s="14" t="n">
        <x:v>73</x:v>
      </x:c>
      <x:c r="I33" s="14" t="n">
        <x:v>68</x:v>
      </x:c>
      <x:c r="J33" s="14" t="n">
        <x:v>70</x:v>
      </x:c>
      <x:c r="K33" s="14" t="n">
        <x:v>50</x:v>
      </x:c>
      <x:c r="L33" s="14" t="n">
        <x:v>79</x:v>
      </x:c>
      <x:c r="M33" s="14" t="n">
        <x:v>75</x:v>
      </x:c>
      <x:c r="N33" s="14" t="n">
        <x:f>ROUND(AVERAGE(H33:M33),0)</x:f>
        <x:v>69</x:v>
      </x:c>
      <x:c r="O33" s="12" t="str">
        <x:f>IF(N33&gt;=80,"Высокий",IF(N33&gt;=60,"Средний","Низкий"))</x:f>
        <x:v>Средний</x:v>
      </x:c>
      <x:c r="P33" s="12" t="str">
        <x:f>IF(N33&gt;=80,"Низкий",IF(N33&gt;=60,"Средний","Высокий"))</x:f>
        <x:v>Средний</x:v>
      </x:c>
      <x:c r="Q33" s="12" t="str">
        <x:f>IF(MIN(H33:M33)=H33,"Основы цифровой грамотности",IF(MIN(H33:M33)=I33,"Менеджер паролей и 2FA",IF(MIN(H33:M33)=J33,"Персональные данные без утечек",IF(MIN(H33:M33)=K33,"Антифишинг: распознавание угроз",IF(MIN(H33:M33)=L33,"Безопасные платежи и госуслуги","Безопасность в соцсетях")))))</x:f>
        <x:v>Антифишинг: распознавание угроз</x:v>
      </x:c>
      <x:c r="R33" s="12" t="str">
        <x:v>2026-01</x:v>
      </x:c>
      <x:c r="S33" s="12" t="str">
        <x:v>опрос в центре</x:v>
      </x:c>
    </x:row>
    <x:row r="34">
      <x:c r="A34" s="12" t="n">
        <x:v>33</x:v>
      </x:c>
      <x:c r="B34" s="12" t="str">
        <x:v>Санкт-Петербург</x:v>
      </x:c>
      <x:c r="C34" s="12" t="str">
        <x:v>малый город</x:v>
      </x:c>
      <x:c r="D34" s="12" t="str">
        <x:v>25-34</x:v>
      </x:c>
      <x:c r="E34" s="12" t="str">
        <x:v>Мужской</x:v>
      </x:c>
      <x:c r="F34" s="12" t="str">
        <x:v>обучающийся</x:v>
      </x:c>
      <x:c r="G34" s="12" t="str">
        <x:v>постоянный</x:v>
      </x:c>
      <x:c r="H34" s="14" t="n">
        <x:v>90</x:v>
      </x:c>
      <x:c r="I34" s="14" t="n">
        <x:v>71</x:v>
      </x:c>
      <x:c r="J34" s="14" t="n">
        <x:v>93</x:v>
      </x:c>
      <x:c r="K34" s="14" t="n">
        <x:v>63</x:v>
      </x:c>
      <x:c r="L34" s="14" t="n">
        <x:v>62</x:v>
      </x:c>
      <x:c r="M34" s="14" t="n">
        <x:v>61</x:v>
      </x:c>
      <x:c r="N34" s="14" t="n">
        <x:f>ROUND(AVERAGE(H34:M34),0)</x:f>
        <x:v>73</x:v>
      </x:c>
      <x:c r="O34" s="12" t="str">
        <x:f>IF(N34&gt;=80,"Высокий",IF(N34&gt;=60,"Средний","Низкий"))</x:f>
        <x:v>Средний</x:v>
      </x:c>
      <x:c r="P34" s="12" t="str">
        <x:f>IF(N34&gt;=80,"Низкий",IF(N34&gt;=60,"Средний","Высокий"))</x:f>
        <x:v>Средний</x:v>
      </x:c>
      <x:c r="Q34" s="12" t="str">
        <x:f>IF(MIN(H34:M34)=H34,"Основы цифровой грамотности",IF(MIN(H34:M34)=I34,"Менеджер паролей и 2FA",IF(MIN(H34:M34)=J34,"Персональные данные без утечек",IF(MIN(H34:M34)=K34,"Антифишинг: распознавание угроз",IF(MIN(H34:M34)=L34,"Безопасные платежи и госуслуги","Безопасность в соцсетях")))))</x:f>
        <x:v>Безопасность в соцсетях</x:v>
      </x:c>
      <x:c r="R34" s="12" t="str">
        <x:v>2026-02</x:v>
      </x:c>
      <x:c r="S34" s="12" t="str">
        <x:v>курс SafeNet</x:v>
      </x:c>
    </x:row>
    <x:row r="35">
      <x:c r="A35" s="12" t="n">
        <x:v>34</x:v>
      </x:c>
      <x:c r="B35" s="12" t="str">
        <x:v>Самарская область</x:v>
      </x:c>
      <x:c r="C35" s="12" t="str">
        <x:v>крупный город</x:v>
      </x:c>
      <x:c r="D35" s="12" t="str">
        <x:v>18-24</x:v>
      </x:c>
      <x:c r="E35" s="12" t="str">
        <x:v>Мужской</x:v>
      </x:c>
      <x:c r="F35" s="12" t="str">
        <x:v>высшее</x:v>
      </x:c>
      <x:c r="G35" s="12" t="str">
        <x:v>постоянный</x:v>
      </x:c>
      <x:c r="H35" s="14" t="n">
        <x:v>87</x:v>
      </x:c>
      <x:c r="I35" s="14" t="n">
        <x:v>69</x:v>
      </x:c>
      <x:c r="J35" s="14" t="n">
        <x:v>76</x:v>
      </x:c>
      <x:c r="K35" s="14" t="n">
        <x:v>73</x:v>
      </x:c>
      <x:c r="L35" s="14" t="n">
        <x:v>90</x:v>
      </x:c>
      <x:c r="M35" s="14" t="n">
        <x:v>84</x:v>
      </x:c>
      <x:c r="N35" s="14" t="n">
        <x:f>ROUND(AVERAGE(H35:M35),0)</x:f>
        <x:v>80</x:v>
      </x:c>
      <x:c r="O35" s="12" t="str">
        <x:f>IF(N35&gt;=80,"Высокий",IF(N35&gt;=60,"Средний","Низкий"))</x:f>
        <x:v>Высокий</x:v>
      </x:c>
      <x:c r="P35" s="12" t="str">
        <x:f>IF(N35&gt;=80,"Низкий",IF(N35&gt;=60,"Средний","Высокий"))</x:f>
        <x:v>Низкий</x:v>
      </x:c>
      <x:c r="Q35" s="12" t="str">
        <x:f>IF(MIN(H35:M35)=H35,"Основы цифровой грамотности",IF(MIN(H35:M35)=I35,"Менеджер паролей и 2FA",IF(MIN(H35:M35)=J35,"Персональные данные без утечек",IF(MIN(H35:M35)=K35,"Антифишинг: распознавание угроз",IF(MIN(H35:M35)=L35,"Безопасные платежи и госуслуги","Безопасность в соцсетях")))))</x:f>
        <x:v>Менеджер паролей и 2FA</x:v>
      </x:c>
      <x:c r="R35" s="12" t="str">
        <x:v>2026-03</x:v>
      </x:c>
      <x:c r="S35" s="12" t="str">
        <x:v>онлайн-анкета</x:v>
      </x:c>
    </x:row>
    <x:row r="36">
      <x:c r="A36" s="12" t="n">
        <x:v>35</x:v>
      </x:c>
      <x:c r="B36" s="12" t="str">
        <x:v>Татарстан</x:v>
      </x:c>
      <x:c r="C36" s="12" t="str">
        <x:v>крупный город</x:v>
      </x:c>
      <x:c r="D36" s="12" t="str">
        <x:v>18-24</x:v>
      </x:c>
      <x:c r="E36" s="12" t="str">
        <x:v>Мужской</x:v>
      </x:c>
      <x:c r="F36" s="12" t="str">
        <x:v>среднее</x:v>
      </x:c>
      <x:c r="G36" s="12" t="str">
        <x:v>постоянный</x:v>
      </x:c>
      <x:c r="H36" s="14" t="n">
        <x:v>88</x:v>
      </x:c>
      <x:c r="I36" s="14" t="n">
        <x:v>91</x:v>
      </x:c>
      <x:c r="J36" s="14" t="n">
        <x:v>77</x:v>
      </x:c>
      <x:c r="K36" s="14" t="n">
        <x:v>89</x:v>
      </x:c>
      <x:c r="L36" s="14" t="n">
        <x:v>100</x:v>
      </x:c>
      <x:c r="M36" s="14" t="n">
        <x:v>87</x:v>
      </x:c>
      <x:c r="N36" s="14" t="n">
        <x:f>ROUND(AVERAGE(H36:M36),0)</x:f>
        <x:v>89</x:v>
      </x:c>
      <x:c r="O36" s="12" t="str">
        <x:f>IF(N36&gt;=80,"Высокий",IF(N36&gt;=60,"Средний","Низкий"))</x:f>
        <x:v>Высокий</x:v>
      </x:c>
      <x:c r="P36" s="12" t="str">
        <x:f>IF(N36&gt;=80,"Низкий",IF(N36&gt;=60,"Средний","Высокий"))</x:f>
        <x:v>Низкий</x:v>
      </x:c>
      <x:c r="Q36" s="12" t="str">
        <x:f>IF(MIN(H36:M36)=H36,"Основы цифровой грамотности",IF(MIN(H36:M36)=I36,"Менеджер паролей и 2FA",IF(MIN(H36:M36)=J36,"Персональные данные без утечек",IF(MIN(H36:M36)=K36,"Антифишинг: распознавание угроз",IF(MIN(H36:M36)=L36,"Безопасные платежи и госуслуги","Безопасность в соцсетях")))))</x:f>
        <x:v>Персональные данные без утечек</x:v>
      </x:c>
      <x:c r="R36" s="12" t="str">
        <x:v>2026-05</x:v>
      </x:c>
      <x:c r="S36" s="12" t="str">
        <x:v>курс SafeNet</x:v>
      </x:c>
    </x:row>
    <x:row r="37">
      <x:c r="A37" s="12" t="n">
        <x:v>36</x:v>
      </x:c>
      <x:c r="B37" s="12" t="str">
        <x:v>Самарская область</x:v>
      </x:c>
      <x:c r="C37" s="12" t="str">
        <x:v>крупный город</x:v>
      </x:c>
      <x:c r="D37" s="12" t="str">
        <x:v>14-17</x:v>
      </x:c>
      <x:c r="E37" s="12" t="str">
        <x:v>Женский</x:v>
      </x:c>
      <x:c r="F37" s="12" t="str">
        <x:v>обучающийся</x:v>
      </x:c>
      <x:c r="G37" s="12" t="str">
        <x:v>постоянный</x:v>
      </x:c>
      <x:c r="H37" s="14" t="n">
        <x:v>95</x:v>
      </x:c>
      <x:c r="I37" s="14" t="n">
        <x:v>55</x:v>
      </x:c>
      <x:c r="J37" s="14" t="n">
        <x:v>62</x:v>
      </x:c>
      <x:c r="K37" s="14" t="n">
        <x:v>81</x:v>
      </x:c>
      <x:c r="L37" s="14" t="n">
        <x:v>64</x:v>
      </x:c>
      <x:c r="M37" s="14" t="n">
        <x:v>70</x:v>
      </x:c>
      <x:c r="N37" s="14" t="n">
        <x:f>ROUND(AVERAGE(H37:M37),0)</x:f>
        <x:v>71</x:v>
      </x:c>
      <x:c r="O37" s="12" t="str">
        <x:f>IF(N37&gt;=80,"Высокий",IF(N37&gt;=60,"Средний","Низкий"))</x:f>
        <x:v>Средний</x:v>
      </x:c>
      <x:c r="P37" s="12" t="str">
        <x:f>IF(N37&gt;=80,"Низкий",IF(N37&gt;=60,"Средний","Высокий"))</x:f>
        <x:v>Средний</x:v>
      </x:c>
      <x:c r="Q37" s="12" t="str">
        <x:f>IF(MIN(H37:M37)=H37,"Основы цифровой грамотности",IF(MIN(H37:M37)=I37,"Менеджер паролей и 2FA",IF(MIN(H37:M37)=J37,"Персональные данные без утечек",IF(MIN(H37:M37)=K37,"Антифишинг: распознавание угроз",IF(MIN(H37:M37)=L37,"Безопасные платежи и госуслуги","Безопасность в соцсетях")))))</x:f>
        <x:v>Менеджер паролей и 2FA</x:v>
      </x:c>
      <x:c r="R37" s="12" t="str">
        <x:v>2026-02</x:v>
      </x:c>
      <x:c r="S37" s="12" t="str">
        <x:v>школьный модуль</x:v>
      </x:c>
    </x:row>
    <x:row r="38">
      <x:c r="A38" s="12" t="n">
        <x:v>37</x:v>
      </x:c>
      <x:c r="B38" s="12" t="str">
        <x:v>Башкортостан</x:v>
      </x:c>
      <x:c r="C38" s="12" t="str">
        <x:v>крупный город</x:v>
      </x:c>
      <x:c r="D38" s="12" t="str">
        <x:v>25-34</x:v>
      </x:c>
      <x:c r="E38" s="12" t="str">
        <x:v>Мужской</x:v>
      </x:c>
      <x:c r="F38" s="12" t="str">
        <x:v>среднее</x:v>
      </x:c>
      <x:c r="G38" s="12" t="str">
        <x:v>постоянный</x:v>
      </x:c>
      <x:c r="H38" s="14" t="n">
        <x:v>87</x:v>
      </x:c>
      <x:c r="I38" s="14" t="n">
        <x:v>62</x:v>
      </x:c>
      <x:c r="J38" s="14" t="n">
        <x:v>90</x:v>
      </x:c>
      <x:c r="K38" s="14" t="n">
        <x:v>56</x:v>
      </x:c>
      <x:c r="L38" s="14" t="n">
        <x:v>91</x:v>
      </x:c>
      <x:c r="M38" s="14" t="n">
        <x:v>75</x:v>
      </x:c>
      <x:c r="N38" s="14" t="n">
        <x:f>ROUND(AVERAGE(H38:M38),0)</x:f>
        <x:v>77</x:v>
      </x:c>
      <x:c r="O38" s="12" t="str">
        <x:f>IF(N38&gt;=80,"Высокий",IF(N38&gt;=60,"Средний","Низкий"))</x:f>
        <x:v>Средний</x:v>
      </x:c>
      <x:c r="P38" s="12" t="str">
        <x:f>IF(N38&gt;=80,"Низкий",IF(N38&gt;=60,"Средний","Высокий"))</x:f>
        <x:v>Средний</x:v>
      </x:c>
      <x:c r="Q38" s="12" t="str">
        <x:f>IF(MIN(H38:M38)=H38,"Основы цифровой грамотности",IF(MIN(H38:M38)=I38,"Менеджер паролей и 2FA",IF(MIN(H38:M38)=J38,"Персональные данные без утечек",IF(MIN(H38:M38)=K38,"Антифишинг: распознавание угроз",IF(MIN(H38:M38)=L38,"Безопасные платежи и госуслуги","Безопасность в соцсетях")))))</x:f>
        <x:v>Антифишинг: распознавание угроз</x:v>
      </x:c>
      <x:c r="R38" s="12" t="str">
        <x:v>2026-01</x:v>
      </x:c>
      <x:c r="S38" s="12" t="str">
        <x:v>курс SafeNet</x:v>
      </x:c>
    </x:row>
    <x:row r="39">
      <x:c r="A39" s="12" t="n">
        <x:v>38</x:v>
      </x:c>
      <x:c r="B39" s="12" t="str">
        <x:v>Татарстан</x:v>
      </x:c>
      <x:c r="C39" s="12" t="str">
        <x:v>крупный город</x:v>
      </x:c>
      <x:c r="D39" s="12" t="str">
        <x:v>45-60</x:v>
      </x:c>
      <x:c r="E39" s="12" t="str">
        <x:v>Мужской</x:v>
      </x:c>
      <x:c r="F39" s="12" t="str">
        <x:v>высшее</x:v>
      </x:c>
      <x:c r="G39" s="12" t="str">
        <x:v>постоянный</x:v>
      </x:c>
      <x:c r="H39" s="14" t="n">
        <x:v>61</x:v>
      </x:c>
      <x:c r="I39" s="14" t="n">
        <x:v>71</x:v>
      </x:c>
      <x:c r="J39" s="14" t="n">
        <x:v>51</x:v>
      </x:c>
      <x:c r="K39" s="14" t="n">
        <x:v>77</x:v>
      </x:c>
      <x:c r="L39" s="14" t="n">
        <x:v>59</x:v>
      </x:c>
      <x:c r="M39" s="14" t="n">
        <x:v>84</x:v>
      </x:c>
      <x:c r="N39" s="14" t="n">
        <x:f>ROUND(AVERAGE(H39:M39),0)</x:f>
        <x:v>67</x:v>
      </x:c>
      <x:c r="O39" s="12" t="str">
        <x:f>IF(N39&gt;=80,"Высокий",IF(N39&gt;=60,"Средний","Низкий"))</x:f>
        <x:v>Средний</x:v>
      </x:c>
      <x:c r="P39" s="12" t="str">
        <x:f>IF(N39&gt;=80,"Низкий",IF(N39&gt;=60,"Средний","Высокий"))</x:f>
        <x:v>Средний</x:v>
      </x:c>
      <x:c r="Q39" s="12" t="str">
        <x:f>IF(MIN(H39:M39)=H39,"Основы цифровой грамотности",IF(MIN(H39:M39)=I39,"Менеджер паролей и 2FA",IF(MIN(H39:M39)=J39,"Персональные данные без утечек",IF(MIN(H39:M39)=K39,"Антифишинг: распознавание угроз",IF(MIN(H39:M39)=L39,"Безопасные платежи и госуслуги","Безопасность в соцсетях")))))</x:f>
        <x:v>Персональные данные без утечек</x:v>
      </x:c>
      <x:c r="R39" s="12" t="str">
        <x:v>2026-01</x:v>
      </x:c>
      <x:c r="S39" s="12" t="str">
        <x:v>курс SafeNet</x:v>
      </x:c>
    </x:row>
    <x:row r="40">
      <x:c r="A40" s="12" t="n">
        <x:v>39</x:v>
      </x:c>
      <x:c r="B40" s="12" t="str">
        <x:v>Москва</x:v>
      </x:c>
      <x:c r="C40" s="12" t="str">
        <x:v>крупный город</x:v>
      </x:c>
      <x:c r="D40" s="12" t="str">
        <x:v>35-44</x:v>
      </x:c>
      <x:c r="E40" s="12" t="str">
        <x:v>Женский</x:v>
      </x:c>
      <x:c r="F40" s="12" t="str">
        <x:v>среднее специальное</x:v>
      </x:c>
      <x:c r="G40" s="12" t="str">
        <x:v>ограниченный</x:v>
      </x:c>
      <x:c r="H40" s="14" t="n">
        <x:v>66</x:v>
      </x:c>
      <x:c r="I40" s="14" t="n">
        <x:v>64</x:v>
      </x:c>
      <x:c r="J40" s="14" t="n">
        <x:v>64</x:v>
      </x:c>
      <x:c r="K40" s="14" t="n">
        <x:v>57</x:v>
      </x:c>
      <x:c r="L40" s="14" t="n">
        <x:v>69</x:v>
      </x:c>
      <x:c r="M40" s="14" t="n">
        <x:v>60</x:v>
      </x:c>
      <x:c r="N40" s="14" t="n">
        <x:f>ROUND(AVERAGE(H40:M40),0)</x:f>
        <x:v>63</x:v>
      </x:c>
      <x:c r="O40" s="12" t="str">
        <x:f>IF(N40&gt;=80,"Высокий",IF(N40&gt;=60,"Средний","Низкий"))</x:f>
        <x:v>Средний</x:v>
      </x:c>
      <x:c r="P40" s="12" t="str">
        <x:f>IF(N40&gt;=80,"Низкий",IF(N40&gt;=60,"Средний","Высокий"))</x:f>
        <x:v>Средний</x:v>
      </x:c>
      <x:c r="Q40" s="12" t="str">
        <x:f>IF(MIN(H40:M40)=H40,"Основы цифровой грамотности",IF(MIN(H40:M40)=I40,"Менеджер паролей и 2FA",IF(MIN(H40:M40)=J40,"Персональные данные без утечек",IF(MIN(H40:M40)=K40,"Антифишинг: распознавание угроз",IF(MIN(H40:M40)=L40,"Безопасные платежи и госуслуги","Безопасность в соцсетях")))))</x:f>
        <x:v>Антифишинг: распознавание угроз</x:v>
      </x:c>
      <x:c r="R40" s="12" t="str">
        <x:v>2026-02</x:v>
      </x:c>
      <x:c r="S40" s="12" t="str">
        <x:v>опрос в центре</x:v>
      </x:c>
    </x:row>
    <x:row r="41">
      <x:c r="A41" s="12" t="n">
        <x:v>40</x:v>
      </x:c>
      <x:c r="B41" s="12" t="str">
        <x:v>Самарская область</x:v>
      </x:c>
      <x:c r="C41" s="12" t="str">
        <x:v>малый город</x:v>
      </x:c>
      <x:c r="D41" s="12" t="str">
        <x:v>35-44</x:v>
      </x:c>
      <x:c r="E41" s="12" t="str">
        <x:v>Женский</x:v>
      </x:c>
      <x:c r="F41" s="12" t="str">
        <x:v>высшее</x:v>
      </x:c>
      <x:c r="G41" s="12" t="str">
        <x:v>постоянный</x:v>
      </x:c>
      <x:c r="H41" s="14" t="n">
        <x:v>64</x:v>
      </x:c>
      <x:c r="I41" s="14" t="n">
        <x:v>48</x:v>
      </x:c>
      <x:c r="J41" s="14" t="n">
        <x:v>72</x:v>
      </x:c>
      <x:c r="K41" s="14" t="n">
        <x:v>74</x:v>
      </x:c>
      <x:c r="L41" s="14" t="n">
        <x:v>66</x:v>
      </x:c>
      <x:c r="M41" s="14" t="n">
        <x:v>58</x:v>
      </x:c>
      <x:c r="N41" s="14" t="n">
        <x:f>ROUND(AVERAGE(H41:M41),0)</x:f>
        <x:v>64</x:v>
      </x:c>
      <x:c r="O41" s="12" t="str">
        <x:f>IF(N41&gt;=80,"Высокий",IF(N41&gt;=60,"Средний","Низкий"))</x:f>
        <x:v>Средний</x:v>
      </x:c>
      <x:c r="P41" s="12" t="str">
        <x:f>IF(N41&gt;=80,"Низкий",IF(N41&gt;=60,"Средний","Высокий"))</x:f>
        <x:v>Средний</x:v>
      </x:c>
      <x:c r="Q41" s="12" t="str">
        <x:f>IF(MIN(H41:M41)=H41,"Основы цифровой грамотности",IF(MIN(H41:M41)=I41,"Менеджер паролей и 2FA",IF(MIN(H41:M41)=J41,"Персональные данные без утечек",IF(MIN(H41:M41)=K41,"Антифишинг: распознавание угроз",IF(MIN(H41:M41)=L41,"Безопасные платежи и госуслуги","Безопасность в соцсетях")))))</x:f>
        <x:v>Менеджер паролей и 2FA</x:v>
      </x:c>
      <x:c r="R41" s="12" t="str">
        <x:v>2026-01</x:v>
      </x:c>
      <x:c r="S41" s="12" t="str">
        <x:v>онлайн-анкета</x:v>
      </x:c>
    </x:row>
    <x:row r="42">
      <x:c r="A42" s="12" t="n">
        <x:v>41</x:v>
      </x:c>
      <x:c r="B42" s="12" t="str">
        <x:v>Свердловская область</x:v>
      </x:c>
      <x:c r="C42" s="12" t="str">
        <x:v>село</x:v>
      </x:c>
      <x:c r="D42" s="12" t="str">
        <x:v>35-44</x:v>
      </x:c>
      <x:c r="E42" s="12" t="str">
        <x:v>Мужской</x:v>
      </x:c>
      <x:c r="F42" s="12" t="str">
        <x:v>среднее</x:v>
      </x:c>
      <x:c r="G42" s="12" t="str">
        <x:v>постоянный</x:v>
      </x:c>
      <x:c r="H42" s="14" t="n">
        <x:v>69</x:v>
      </x:c>
      <x:c r="I42" s="14" t="n">
        <x:v>56</x:v>
      </x:c>
      <x:c r="J42" s="14" t="n">
        <x:v>43</x:v>
      </x:c>
      <x:c r="K42" s="14" t="n">
        <x:v>46</x:v>
      </x:c>
      <x:c r="L42" s="14" t="n">
        <x:v>61</x:v>
      </x:c>
      <x:c r="M42" s="14" t="n">
        <x:v>72</x:v>
      </x:c>
      <x:c r="N42" s="14" t="n">
        <x:f>ROUND(AVERAGE(H42:M42),0)</x:f>
        <x:v>58</x:v>
      </x:c>
      <x:c r="O42" s="12" t="str">
        <x:f>IF(N42&gt;=80,"Высокий",IF(N42&gt;=60,"Средний","Низкий"))</x:f>
        <x:v>Низкий</x:v>
      </x:c>
      <x:c r="P42" s="12" t="str">
        <x:f>IF(N42&gt;=80,"Низкий",IF(N42&gt;=60,"Средний","Высокий"))</x:f>
        <x:v>Высокий</x:v>
      </x:c>
      <x:c r="Q42" s="12" t="str">
        <x:f>IF(MIN(H42:M42)=H42,"Основы цифровой грамотности",IF(MIN(H42:M42)=I42,"Менеджер паролей и 2FA",IF(MIN(H42:M42)=J42,"Персональные данные без утечек",IF(MIN(H42:M42)=K42,"Антифишинг: распознавание угроз",IF(MIN(H42:M42)=L42,"Безопасные платежи и госуслуги","Безопасность в соцсетях")))))</x:f>
        <x:v>Персональные данные без утечек</x:v>
      </x:c>
      <x:c r="R42" s="12" t="str">
        <x:v>2026-05</x:v>
      </x:c>
      <x:c r="S42" s="12" t="str">
        <x:v>онлайн-анкета</x:v>
      </x:c>
    </x:row>
    <x:row r="43">
      <x:c r="A43" s="12" t="n">
        <x:v>42</x:v>
      </x:c>
      <x:c r="B43" s="12" t="str">
        <x:v>Краснодарский край</x:v>
      </x:c>
      <x:c r="C43" s="12" t="str">
        <x:v>малый город</x:v>
      </x:c>
      <x:c r="D43" s="12" t="str">
        <x:v>25-34</x:v>
      </x:c>
      <x:c r="E43" s="12" t="str">
        <x:v>Мужской</x:v>
      </x:c>
      <x:c r="F43" s="12" t="str">
        <x:v>среднее специальное</x:v>
      </x:c>
      <x:c r="G43" s="12" t="str">
        <x:v>постоянный</x:v>
      </x:c>
      <x:c r="H43" s="14" t="n">
        <x:v>76</x:v>
      </x:c>
      <x:c r="I43" s="14" t="n">
        <x:v>71</x:v>
      </x:c>
      <x:c r="J43" s="14" t="n">
        <x:v>63</x:v>
      </x:c>
      <x:c r="K43" s="14" t="n">
        <x:v>76</x:v>
      </x:c>
      <x:c r="L43" s="14" t="n">
        <x:v>65</x:v>
      </x:c>
      <x:c r="M43" s="14" t="n">
        <x:v>75</x:v>
      </x:c>
      <x:c r="N43" s="14" t="n">
        <x:f>ROUND(AVERAGE(H43:M43),0)</x:f>
        <x:v>71</x:v>
      </x:c>
      <x:c r="O43" s="12" t="str">
        <x:f>IF(N43&gt;=80,"Высокий",IF(N43&gt;=60,"Средний","Низкий"))</x:f>
        <x:v>Средний</x:v>
      </x:c>
      <x:c r="P43" s="12" t="str">
        <x:f>IF(N43&gt;=80,"Низкий",IF(N43&gt;=60,"Средний","Высокий"))</x:f>
        <x:v>Средний</x:v>
      </x:c>
      <x:c r="Q43" s="12" t="str">
        <x:f>IF(MIN(H43:M43)=H43,"Основы цифровой грамотности",IF(MIN(H43:M43)=I43,"Менеджер паролей и 2FA",IF(MIN(H43:M43)=J43,"Персональные данные без утечек",IF(MIN(H43:M43)=K43,"Антифишинг: распознавание угроз",IF(MIN(H43:M43)=L43,"Безопасные платежи и госуслуги","Безопасность в соцсетях")))))</x:f>
        <x:v>Персональные данные без утечек</x:v>
      </x:c>
      <x:c r="R43" s="12" t="str">
        <x:v>2026-04</x:v>
      </x:c>
      <x:c r="S43" s="12" t="str">
        <x:v>опрос в центре</x:v>
      </x:c>
    </x:row>
    <x:row r="44">
      <x:c r="A44" s="12" t="n">
        <x:v>43</x:v>
      </x:c>
      <x:c r="B44" s="12" t="str">
        <x:v>Приморский край</x:v>
      </x:c>
      <x:c r="C44" s="12" t="str">
        <x:v>малый город</x:v>
      </x:c>
      <x:c r="D44" s="12" t="str">
        <x:v>25-34</x:v>
      </x:c>
      <x:c r="E44" s="12" t="str">
        <x:v>Женский</x:v>
      </x:c>
      <x:c r="F44" s="12" t="str">
        <x:v>среднее</x:v>
      </x:c>
      <x:c r="G44" s="12" t="str">
        <x:v>постоянный</x:v>
      </x:c>
      <x:c r="H44" s="14" t="n">
        <x:v>92</x:v>
      </x:c>
      <x:c r="I44" s="14" t="n">
        <x:v>64</x:v>
      </x:c>
      <x:c r="J44" s="14" t="n">
        <x:v>55</x:v>
      </x:c>
      <x:c r="K44" s="14" t="n">
        <x:v>74</x:v>
      </x:c>
      <x:c r="L44" s="14" t="n">
        <x:v>67</x:v>
      </x:c>
      <x:c r="M44" s="14" t="n">
        <x:v>66</x:v>
      </x:c>
      <x:c r="N44" s="14" t="n">
        <x:f>ROUND(AVERAGE(H44:M44),0)</x:f>
        <x:v>70</x:v>
      </x:c>
      <x:c r="O44" s="12" t="str">
        <x:f>IF(N44&gt;=80,"Высокий",IF(N44&gt;=60,"Средний","Низкий"))</x:f>
        <x:v>Средний</x:v>
      </x:c>
      <x:c r="P44" s="12" t="str">
        <x:f>IF(N44&gt;=80,"Низкий",IF(N44&gt;=60,"Средний","Высокий"))</x:f>
        <x:v>Средний</x:v>
      </x:c>
      <x:c r="Q44" s="12" t="str">
        <x:f>IF(MIN(H44:M44)=H44,"Основы цифровой грамотности",IF(MIN(H44:M44)=I44,"Менеджер паролей и 2FA",IF(MIN(H44:M44)=J44,"Персональные данные без утечек",IF(MIN(H44:M44)=K44,"Антифишинг: распознавание угроз",IF(MIN(H44:M44)=L44,"Безопасные платежи и госуслуги","Безопасность в соцсетях")))))</x:f>
        <x:v>Персональные данные без утечек</x:v>
      </x:c>
      <x:c r="R44" s="12" t="str">
        <x:v>2026-03</x:v>
      </x:c>
      <x:c r="S44" s="12" t="str">
        <x:v>курс SafeNet</x:v>
      </x:c>
    </x:row>
    <x:row r="45">
      <x:c r="A45" s="12" t="n">
        <x:v>44</x:v>
      </x:c>
      <x:c r="B45" s="12" t="str">
        <x:v>Новосибирская область</x:v>
      </x:c>
      <x:c r="C45" s="12" t="str">
        <x:v>малый город</x:v>
      </x:c>
      <x:c r="D45" s="12" t="str">
        <x:v>35-44</x:v>
      </x:c>
      <x:c r="E45" s="12" t="str">
        <x:v>Мужской</x:v>
      </x:c>
      <x:c r="F45" s="12" t="str">
        <x:v>высшее</x:v>
      </x:c>
      <x:c r="G45" s="12" t="str">
        <x:v>постоянный</x:v>
      </x:c>
      <x:c r="H45" s="14" t="n">
        <x:v>63</x:v>
      </x:c>
      <x:c r="I45" s="14" t="n">
        <x:v>74</x:v>
      </x:c>
      <x:c r="J45" s="14" t="n">
        <x:v>60</x:v>
      </x:c>
      <x:c r="K45" s="14" t="n">
        <x:v>72</x:v>
      </x:c>
      <x:c r="L45" s="14" t="n">
        <x:v>61</x:v>
      </x:c>
      <x:c r="M45" s="14" t="n">
        <x:v>69</x:v>
      </x:c>
      <x:c r="N45" s="14" t="n">
        <x:f>ROUND(AVERAGE(H45:M45),0)</x:f>
        <x:v>67</x:v>
      </x:c>
      <x:c r="O45" s="12" t="str">
        <x:f>IF(N45&gt;=80,"Высокий",IF(N45&gt;=60,"Средний","Низкий"))</x:f>
        <x:v>Средний</x:v>
      </x:c>
      <x:c r="P45" s="12" t="str">
        <x:f>IF(N45&gt;=80,"Низкий",IF(N45&gt;=60,"Средний","Высокий"))</x:f>
        <x:v>Средний</x:v>
      </x:c>
      <x:c r="Q45" s="12" t="str">
        <x:f>IF(MIN(H45:M45)=H45,"Основы цифровой грамотности",IF(MIN(H45:M45)=I45,"Менеджер паролей и 2FA",IF(MIN(H45:M45)=J45,"Персональные данные без утечек",IF(MIN(H45:M45)=K45,"Антифишинг: распознавание угроз",IF(MIN(H45:M45)=L45,"Безопасные платежи и госуслуги","Безопасность в соцсетях")))))</x:f>
        <x:v>Персональные данные без утечек</x:v>
      </x:c>
      <x:c r="R45" s="12" t="str">
        <x:v>2026-05</x:v>
      </x:c>
      <x:c r="S45" s="12" t="str">
        <x:v>онлайн-анкета</x:v>
      </x:c>
    </x:row>
    <x:row r="46">
      <x:c r="A46" s="12" t="n">
        <x:v>45</x:v>
      </x:c>
      <x:c r="B46" s="12" t="str">
        <x:v>Ростовская область</x:v>
      </x:c>
      <x:c r="C46" s="12" t="str">
        <x:v>крупный город</x:v>
      </x:c>
      <x:c r="D46" s="12" t="str">
        <x:v>60+</x:v>
      </x:c>
      <x:c r="E46" s="12" t="str">
        <x:v>Женский</x:v>
      </x:c>
      <x:c r="F46" s="12" t="str">
        <x:v>высшее</x:v>
      </x:c>
      <x:c r="G46" s="12" t="str">
        <x:v>постоянный</x:v>
      </x:c>
      <x:c r="H46" s="14" t="n">
        <x:v>38</x:v>
      </x:c>
      <x:c r="I46" s="14" t="n">
        <x:v>51</x:v>
      </x:c>
      <x:c r="J46" s="14" t="n">
        <x:v>46</x:v>
      </x:c>
      <x:c r="K46" s="14" t="n">
        <x:v>35</x:v>
      </x:c>
      <x:c r="L46" s="14" t="n">
        <x:v>34</x:v>
      </x:c>
      <x:c r="M46" s="14" t="n">
        <x:v>50</x:v>
      </x:c>
      <x:c r="N46" s="14" t="n">
        <x:f>ROUND(AVERAGE(H46:M46),0)</x:f>
        <x:v>42</x:v>
      </x:c>
      <x:c r="O46" s="12" t="str">
        <x:f>IF(N46&gt;=80,"Высокий",IF(N46&gt;=60,"Средний","Низкий"))</x:f>
        <x:v>Низкий</x:v>
      </x:c>
      <x:c r="P46" s="12" t="str">
        <x:f>IF(N46&gt;=80,"Низкий",IF(N46&gt;=60,"Средний","Высокий"))</x:f>
        <x:v>Высокий</x:v>
      </x:c>
      <x:c r="Q46" s="12" t="str">
        <x:f>IF(MIN(H46:M46)=H46,"Основы цифровой грамотности",IF(MIN(H46:M46)=I46,"Менеджер паролей и 2FA",IF(MIN(H46:M46)=J46,"Персональные данные без утечек",IF(MIN(H46:M46)=K46,"Антифишинг: распознавание угроз",IF(MIN(H46:M46)=L46,"Безопасные платежи и госуслуги","Безопасность в соцсетях")))))</x:f>
        <x:v>Безопасные платежи и госуслуги</x:v>
      </x:c>
      <x:c r="R46" s="12" t="str">
        <x:v>2026-02</x:v>
      </x:c>
      <x:c r="S46" s="12" t="str">
        <x:v>курс SafeNet</x:v>
      </x:c>
    </x:row>
    <x:row r="47">
      <x:c r="A47" s="12" t="n">
        <x:v>46</x:v>
      </x:c>
      <x:c r="B47" s="12" t="str">
        <x:v>Приморский край</x:v>
      </x:c>
      <x:c r="C47" s="12" t="str">
        <x:v>малый город</x:v>
      </x:c>
      <x:c r="D47" s="12" t="str">
        <x:v>18-24</x:v>
      </x:c>
      <x:c r="E47" s="12" t="str">
        <x:v>Мужской</x:v>
      </x:c>
      <x:c r="F47" s="12" t="str">
        <x:v>высшее</x:v>
      </x:c>
      <x:c r="G47" s="12" t="str">
        <x:v>постоянный</x:v>
      </x:c>
      <x:c r="H47" s="14" t="n">
        <x:v>72</x:v>
      </x:c>
      <x:c r="I47" s="14" t="n">
        <x:v>73</x:v>
      </x:c>
      <x:c r="J47" s="14" t="n">
        <x:v>90</x:v>
      </x:c>
      <x:c r="K47" s="14" t="n">
        <x:v>74</x:v>
      </x:c>
      <x:c r="L47" s="14" t="n">
        <x:v>71</x:v>
      </x:c>
      <x:c r="M47" s="14" t="n">
        <x:v>84</x:v>
      </x:c>
      <x:c r="N47" s="14" t="n">
        <x:f>ROUND(AVERAGE(H47:M47),0)</x:f>
        <x:v>77</x:v>
      </x:c>
      <x:c r="O47" s="12" t="str">
        <x:f>IF(N47&gt;=80,"Высокий",IF(N47&gt;=60,"Средний","Низкий"))</x:f>
        <x:v>Средний</x:v>
      </x:c>
      <x:c r="P47" s="12" t="str">
        <x:f>IF(N47&gt;=80,"Низкий",IF(N47&gt;=60,"Средний","Высокий"))</x:f>
        <x:v>Средний</x:v>
      </x:c>
      <x:c r="Q47" s="12" t="str">
        <x:f>IF(MIN(H47:M47)=H47,"Основы цифровой грамотности",IF(MIN(H47:M47)=I47,"Менеджер паролей и 2FA",IF(MIN(H47:M47)=J47,"Персональные данные без утечек",IF(MIN(H47:M47)=K47,"Антифишинг: распознавание угроз",IF(MIN(H47:M47)=L47,"Безопасные платежи и госуслуги","Безопасность в соцсетях")))))</x:f>
        <x:v>Безопасные платежи и госуслуги</x:v>
      </x:c>
      <x:c r="R47" s="12" t="str">
        <x:v>2026-02</x:v>
      </x:c>
      <x:c r="S47" s="12" t="str">
        <x:v>онлайн-анкета</x:v>
      </x:c>
    </x:row>
    <x:row r="48">
      <x:c r="A48" s="12" t="n">
        <x:v>47</x:v>
      </x:c>
      <x:c r="B48" s="12" t="str">
        <x:v>Приморский край</x:v>
      </x:c>
      <x:c r="C48" s="12" t="str">
        <x:v>крупный город</x:v>
      </x:c>
      <x:c r="D48" s="12" t="str">
        <x:v>18-24</x:v>
      </x:c>
      <x:c r="E48" s="12" t="str">
        <x:v>Мужской</x:v>
      </x:c>
      <x:c r="F48" s="12" t="str">
        <x:v>среднее</x:v>
      </x:c>
      <x:c r="G48" s="12" t="str">
        <x:v>постоянный</x:v>
      </x:c>
      <x:c r="H48" s="14" t="n">
        <x:v>86</x:v>
      </x:c>
      <x:c r="I48" s="14" t="n">
        <x:v>75</x:v>
      </x:c>
      <x:c r="J48" s="14" t="n">
        <x:v>84</x:v>
      </x:c>
      <x:c r="K48" s="14" t="n">
        <x:v>90</x:v>
      </x:c>
      <x:c r="L48" s="14" t="n">
        <x:v>79</x:v>
      </x:c>
      <x:c r="M48" s="14" t="n">
        <x:v>53</x:v>
      </x:c>
      <x:c r="N48" s="14" t="n">
        <x:f>ROUND(AVERAGE(H48:M48),0)</x:f>
        <x:v>78</x:v>
      </x:c>
      <x:c r="O48" s="12" t="str">
        <x:f>IF(N48&gt;=80,"Высокий",IF(N48&gt;=60,"Средний","Низкий"))</x:f>
        <x:v>Средний</x:v>
      </x:c>
      <x:c r="P48" s="12" t="str">
        <x:f>IF(N48&gt;=80,"Низкий",IF(N48&gt;=60,"Средний","Высокий"))</x:f>
        <x:v>Средний</x:v>
      </x:c>
      <x:c r="Q48" s="12" t="str">
        <x:f>IF(MIN(H48:M48)=H48,"Основы цифровой грамотности",IF(MIN(H48:M48)=I48,"Менеджер паролей и 2FA",IF(MIN(H48:M48)=J48,"Персональные данные без утечек",IF(MIN(H48:M48)=K48,"Антифишинг: распознавание угроз",IF(MIN(H48:M48)=L48,"Безопасные платежи и госуслуги","Безопасность в соцсетях")))))</x:f>
        <x:v>Безопасность в соцсетях</x:v>
      </x:c>
      <x:c r="R48" s="12" t="str">
        <x:v>2026-02</x:v>
      </x:c>
      <x:c r="S48" s="12" t="str">
        <x:v>школьный модуль</x:v>
      </x:c>
    </x:row>
    <x:row r="49">
      <x:c r="A49" s="12" t="n">
        <x:v>48</x:v>
      </x:c>
      <x:c r="B49" s="12" t="str">
        <x:v>Новосибирская область</x:v>
      </x:c>
      <x:c r="C49" s="12" t="str">
        <x:v>крупный город</x:v>
      </x:c>
      <x:c r="D49" s="12" t="str">
        <x:v>25-34</x:v>
      </x:c>
      <x:c r="E49" s="12" t="str">
        <x:v>Мужской</x:v>
      </x:c>
      <x:c r="F49" s="12" t="str">
        <x:v>среднее</x:v>
      </x:c>
      <x:c r="G49" s="12" t="str">
        <x:v>постоянный</x:v>
      </x:c>
      <x:c r="H49" s="14" t="n">
        <x:v>84</x:v>
      </x:c>
      <x:c r="I49" s="14" t="n">
        <x:v>79</x:v>
      </x:c>
      <x:c r="J49" s="14" t="n">
        <x:v>86</x:v>
      </x:c>
      <x:c r="K49" s="14" t="n">
        <x:v>78</x:v>
      </x:c>
      <x:c r="L49" s="14" t="n">
        <x:v>92</x:v>
      </x:c>
      <x:c r="M49" s="14" t="n">
        <x:v>71</x:v>
      </x:c>
      <x:c r="N49" s="14" t="n">
        <x:f>ROUND(AVERAGE(H49:M49),0)</x:f>
        <x:v>82</x:v>
      </x:c>
      <x:c r="O49" s="12" t="str">
        <x:f>IF(N49&gt;=80,"Высокий",IF(N49&gt;=60,"Средний","Низкий"))</x:f>
        <x:v>Высокий</x:v>
      </x:c>
      <x:c r="P49" s="12" t="str">
        <x:f>IF(N49&gt;=80,"Низкий",IF(N49&gt;=60,"Средний","Высокий"))</x:f>
        <x:v>Низкий</x:v>
      </x:c>
      <x:c r="Q49" s="12" t="str">
        <x:f>IF(MIN(H49:M49)=H49,"Основы цифровой грамотности",IF(MIN(H49:M49)=I49,"Менеджер паролей и 2FA",IF(MIN(H49:M49)=J49,"Персональные данные без утечек",IF(MIN(H49:M49)=K49,"Антифишинг: распознавание угроз",IF(MIN(H49:M49)=L49,"Безопасные платежи и госуслуги","Безопасность в соцсетях")))))</x:f>
        <x:v>Безопасность в соцсетях</x:v>
      </x:c>
      <x:c r="R49" s="12" t="str">
        <x:v>2026-01</x:v>
      </x:c>
      <x:c r="S49" s="12" t="str">
        <x:v>школьный модуль</x:v>
      </x:c>
    </x:row>
    <x:row r="50">
      <x:c r="A50" s="12" t="n">
        <x:v>49</x:v>
      </x:c>
      <x:c r="B50" s="12" t="str">
        <x:v>Самарская область</x:v>
      </x:c>
      <x:c r="C50" s="12" t="str">
        <x:v>крупный город</x:v>
      </x:c>
      <x:c r="D50" s="12" t="str">
        <x:v>25-34</x:v>
      </x:c>
      <x:c r="E50" s="12" t="str">
        <x:v>Женский</x:v>
      </x:c>
      <x:c r="F50" s="12" t="str">
        <x:v>среднее специальное</x:v>
      </x:c>
      <x:c r="G50" s="12" t="str">
        <x:v>ограниченный</x:v>
      </x:c>
      <x:c r="H50" s="14" t="n">
        <x:v>73</x:v>
      </x:c>
      <x:c r="I50" s="14" t="n">
        <x:v>88</x:v>
      </x:c>
      <x:c r="J50" s="14" t="n">
        <x:v>72</x:v>
      </x:c>
      <x:c r="K50" s="14" t="n">
        <x:v>68</x:v>
      </x:c>
      <x:c r="L50" s="14" t="n">
        <x:v>57</x:v>
      </x:c>
      <x:c r="M50" s="14" t="n">
        <x:v>68</x:v>
      </x:c>
      <x:c r="N50" s="14" t="n">
        <x:f>ROUND(AVERAGE(H50:M50),0)</x:f>
        <x:v>71</x:v>
      </x:c>
      <x:c r="O50" s="12" t="str">
        <x:f>IF(N50&gt;=80,"Высокий",IF(N50&gt;=60,"Средний","Низкий"))</x:f>
        <x:v>Средний</x:v>
      </x:c>
      <x:c r="P50" s="12" t="str">
        <x:f>IF(N50&gt;=80,"Низкий",IF(N50&gt;=60,"Средний","Высокий"))</x:f>
        <x:v>Средний</x:v>
      </x:c>
      <x:c r="Q50" s="12" t="str">
        <x:f>IF(MIN(H50:M50)=H50,"Основы цифровой грамотности",IF(MIN(H50:M50)=I50,"Менеджер паролей и 2FA",IF(MIN(H50:M50)=J50,"Персональные данные без утечек",IF(MIN(H50:M50)=K50,"Антифишинг: распознавание угроз",IF(MIN(H50:M50)=L50,"Безопасные платежи и госуслуги","Безопасность в соцсетях")))))</x:f>
        <x:v>Безопасные платежи и госуслуги</x:v>
      </x:c>
      <x:c r="R50" s="12" t="str">
        <x:v>2026-02</x:v>
      </x:c>
      <x:c r="S50" s="12" t="str">
        <x:v>школьный модуль</x:v>
      </x:c>
    </x:row>
    <x:row r="51">
      <x:c r="A51" s="12" t="n">
        <x:v>50</x:v>
      </x:c>
      <x:c r="B51" s="12" t="str">
        <x:v>Санкт-Петербург</x:v>
      </x:c>
      <x:c r="C51" s="12" t="str">
        <x:v>крупный город</x:v>
      </x:c>
      <x:c r="D51" s="12" t="str">
        <x:v>60+</x:v>
      </x:c>
      <x:c r="E51" s="12" t="str">
        <x:v>Мужской</x:v>
      </x:c>
      <x:c r="F51" s="12" t="str">
        <x:v>высшее</x:v>
      </x:c>
      <x:c r="G51" s="12" t="str">
        <x:v>постоянный</x:v>
      </x:c>
      <x:c r="H51" s="14" t="n">
        <x:v>41</x:v>
      </x:c>
      <x:c r="I51" s="14" t="n">
        <x:v>39</x:v>
      </x:c>
      <x:c r="J51" s="14" t="n">
        <x:v>53</x:v>
      </x:c>
      <x:c r="K51" s="14" t="n">
        <x:v>60</x:v>
      </x:c>
      <x:c r="L51" s="14" t="n">
        <x:v>42</x:v>
      </x:c>
      <x:c r="M51" s="14" t="n">
        <x:v>52</x:v>
      </x:c>
      <x:c r="N51" s="14" t="n">
        <x:f>ROUND(AVERAGE(H51:M51),0)</x:f>
        <x:v>48</x:v>
      </x:c>
      <x:c r="O51" s="12" t="str">
        <x:f>IF(N51&gt;=80,"Высокий",IF(N51&gt;=60,"Средний","Низкий"))</x:f>
        <x:v>Низкий</x:v>
      </x:c>
      <x:c r="P51" s="12" t="str">
        <x:f>IF(N51&gt;=80,"Низкий",IF(N51&gt;=60,"Средний","Высокий"))</x:f>
        <x:v>Высокий</x:v>
      </x:c>
      <x:c r="Q51" s="12" t="str">
        <x:f>IF(MIN(H51:M51)=H51,"Основы цифровой грамотности",IF(MIN(H51:M51)=I51,"Менеджер паролей и 2FA",IF(MIN(H51:M51)=J51,"Персональные данные без утечек",IF(MIN(H51:M51)=K51,"Антифишинг: распознавание угроз",IF(MIN(H51:M51)=L51,"Безопасные платежи и госуслуги","Безопасность в соцсетях")))))</x:f>
        <x:v>Менеджер паролей и 2FA</x:v>
      </x:c>
      <x:c r="R51" s="12" t="str">
        <x:v>2026-05</x:v>
      </x:c>
      <x:c r="S51" s="12" t="str">
        <x:v>онлайн-анкета</x:v>
      </x:c>
    </x:row>
    <x:row r="52">
      <x:c r="A52" s="12" t="n">
        <x:v>51</x:v>
      </x:c>
      <x:c r="B52" s="12" t="str">
        <x:v>Пермский край</x:v>
      </x:c>
      <x:c r="C52" s="12" t="str">
        <x:v>крупный город</x:v>
      </x:c>
      <x:c r="D52" s="12" t="str">
        <x:v>60+</x:v>
      </x:c>
      <x:c r="E52" s="12" t="str">
        <x:v>Мужской</x:v>
      </x:c>
      <x:c r="F52" s="12" t="str">
        <x:v>обучающийся</x:v>
      </x:c>
      <x:c r="G52" s="12" t="str">
        <x:v>постоянный</x:v>
      </x:c>
      <x:c r="H52" s="14" t="n">
        <x:v>49</x:v>
      </x:c>
      <x:c r="I52" s="14" t="n">
        <x:v>44</x:v>
      </x:c>
      <x:c r="J52" s="14" t="n">
        <x:v>57</x:v>
      </x:c>
      <x:c r="K52" s="14" t="n">
        <x:v>52</x:v>
      </x:c>
      <x:c r="L52" s="14" t="n">
        <x:v>46</x:v>
      </x:c>
      <x:c r="M52" s="14" t="n">
        <x:v>47</x:v>
      </x:c>
      <x:c r="N52" s="14" t="n">
        <x:f>ROUND(AVERAGE(H52:M52),0)</x:f>
        <x:v>49</x:v>
      </x:c>
      <x:c r="O52" s="12" t="str">
        <x:f>IF(N52&gt;=80,"Высокий",IF(N52&gt;=60,"Средний","Низкий"))</x:f>
        <x:v>Низкий</x:v>
      </x:c>
      <x:c r="P52" s="12" t="str">
        <x:f>IF(N52&gt;=80,"Низкий",IF(N52&gt;=60,"Средний","Высокий"))</x:f>
        <x:v>Высокий</x:v>
      </x:c>
      <x:c r="Q52" s="12" t="str">
        <x:f>IF(MIN(H52:M52)=H52,"Основы цифровой грамотности",IF(MIN(H52:M52)=I52,"Менеджер паролей и 2FA",IF(MIN(H52:M52)=J52,"Персональные данные без утечек",IF(MIN(H52:M52)=K52,"Антифишинг: распознавание угроз",IF(MIN(H52:M52)=L52,"Безопасные платежи и госуслуги","Безопасность в соцсетях")))))</x:f>
        <x:v>Менеджер паролей и 2FA</x:v>
      </x:c>
      <x:c r="R52" s="12" t="str">
        <x:v>2026-06</x:v>
      </x:c>
      <x:c r="S52" s="12" t="str">
        <x:v>курс SafeNet</x:v>
      </x:c>
    </x:row>
    <x:row r="53">
      <x:c r="A53" s="12" t="n">
        <x:v>52</x:v>
      </x:c>
      <x:c r="B53" s="12" t="str">
        <x:v>Свердловская область</x:v>
      </x:c>
      <x:c r="C53" s="12" t="str">
        <x:v>крупный город</x:v>
      </x:c>
      <x:c r="D53" s="12" t="str">
        <x:v>14-17</x:v>
      </x:c>
      <x:c r="E53" s="12" t="str">
        <x:v>Женский</x:v>
      </x:c>
      <x:c r="F53" s="12" t="str">
        <x:v>обучающийся</x:v>
      </x:c>
      <x:c r="G53" s="12" t="str">
        <x:v>постоянный</x:v>
      </x:c>
      <x:c r="H53" s="14" t="n">
        <x:v>82</x:v>
      </x:c>
      <x:c r="I53" s="14" t="n">
        <x:v>72</x:v>
      </x:c>
      <x:c r="J53" s="14" t="n">
        <x:v>77</x:v>
      </x:c>
      <x:c r="K53" s="14" t="n">
        <x:v>81</x:v>
      </x:c>
      <x:c r="L53" s="14" t="n">
        <x:v>80</x:v>
      </x:c>
      <x:c r="M53" s="14" t="n">
        <x:v>61</x:v>
      </x:c>
      <x:c r="N53" s="14" t="n">
        <x:f>ROUND(AVERAGE(H53:M53),0)</x:f>
        <x:v>76</x:v>
      </x:c>
      <x:c r="O53" s="12" t="str">
        <x:f>IF(N53&gt;=80,"Высокий",IF(N53&gt;=60,"Средний","Низкий"))</x:f>
        <x:v>Средний</x:v>
      </x:c>
      <x:c r="P53" s="12" t="str">
        <x:f>IF(N53&gt;=80,"Низкий",IF(N53&gt;=60,"Средний","Высокий"))</x:f>
        <x:v>Средний</x:v>
      </x:c>
      <x:c r="Q53" s="12" t="str">
        <x:f>IF(MIN(H53:M53)=H53,"Основы цифровой грамотности",IF(MIN(H53:M53)=I53,"Менеджер паролей и 2FA",IF(MIN(H53:M53)=J53,"Персональные данные без утечек",IF(MIN(H53:M53)=K53,"Антифишинг: распознавание угроз",IF(MIN(H53:M53)=L53,"Безопасные платежи и госуслуги","Безопасность в соцсетях")))))</x:f>
        <x:v>Безопасность в соцсетях</x:v>
      </x:c>
      <x:c r="R53" s="12" t="str">
        <x:v>2026-01</x:v>
      </x:c>
      <x:c r="S53" s="12" t="str">
        <x:v>опрос в центре</x:v>
      </x:c>
    </x:row>
    <x:row r="54">
      <x:c r="A54" s="12" t="n">
        <x:v>53</x:v>
      </x:c>
      <x:c r="B54" s="12" t="str">
        <x:v>Нижегородская область</x:v>
      </x:c>
      <x:c r="C54" s="12" t="str">
        <x:v>крупный город</x:v>
      </x:c>
      <x:c r="D54" s="12" t="str">
        <x:v>18-24</x:v>
      </x:c>
      <x:c r="E54" s="12" t="str">
        <x:v>Мужской</x:v>
      </x:c>
      <x:c r="F54" s="12" t="str">
        <x:v>высшее</x:v>
      </x:c>
      <x:c r="G54" s="12" t="str">
        <x:v>постоянный</x:v>
      </x:c>
      <x:c r="H54" s="14" t="n">
        <x:v>100</x:v>
      </x:c>
      <x:c r="I54" s="14" t="n">
        <x:v>87</x:v>
      </x:c>
      <x:c r="J54" s="14" t="n">
        <x:v>67</x:v>
      </x:c>
      <x:c r="K54" s="14" t="n">
        <x:v>69</x:v>
      </x:c>
      <x:c r="L54" s="14" t="n">
        <x:v>92</x:v>
      </x:c>
      <x:c r="M54" s="14" t="n">
        <x:v>75</x:v>
      </x:c>
      <x:c r="N54" s="14" t="n">
        <x:f>ROUND(AVERAGE(H54:M54),0)</x:f>
        <x:v>82</x:v>
      </x:c>
      <x:c r="O54" s="12" t="str">
        <x:f>IF(N54&gt;=80,"Высокий",IF(N54&gt;=60,"Средний","Низкий"))</x:f>
        <x:v>Высокий</x:v>
      </x:c>
      <x:c r="P54" s="12" t="str">
        <x:f>IF(N54&gt;=80,"Низкий",IF(N54&gt;=60,"Средний","Высокий"))</x:f>
        <x:v>Низкий</x:v>
      </x:c>
      <x:c r="Q54" s="12" t="str">
        <x:f>IF(MIN(H54:M54)=H54,"Основы цифровой грамотности",IF(MIN(H54:M54)=I54,"Менеджер паролей и 2FA",IF(MIN(H54:M54)=J54,"Персональные данные без утечек",IF(MIN(H54:M54)=K54,"Антифишинг: распознавание угроз",IF(MIN(H54:M54)=L54,"Безопасные платежи и госуслуги","Безопасность в соцсетях")))))</x:f>
        <x:v>Персональные данные без утечек</x:v>
      </x:c>
      <x:c r="R54" s="12" t="str">
        <x:v>2026-06</x:v>
      </x:c>
      <x:c r="S54" s="12" t="str">
        <x:v>курс SafeNet</x:v>
      </x:c>
    </x:row>
    <x:row r="55">
      <x:c r="A55" s="12" t="n">
        <x:v>54</x:v>
      </x:c>
      <x:c r="B55" s="12" t="str">
        <x:v>Свердловская область</x:v>
      </x:c>
      <x:c r="C55" s="12" t="str">
        <x:v>крупный город</x:v>
      </x:c>
      <x:c r="D55" s="12" t="str">
        <x:v>25-34</x:v>
      </x:c>
      <x:c r="E55" s="12" t="str">
        <x:v>Женский</x:v>
      </x:c>
      <x:c r="F55" s="12" t="str">
        <x:v>высшее</x:v>
      </x:c>
      <x:c r="G55" s="12" t="str">
        <x:v>постоянный</x:v>
      </x:c>
      <x:c r="H55" s="14" t="n">
        <x:v>92</x:v>
      </x:c>
      <x:c r="I55" s="14" t="n">
        <x:v>80</x:v>
      </x:c>
      <x:c r="J55" s="14" t="n">
        <x:v>75</x:v>
      </x:c>
      <x:c r="K55" s="14" t="n">
        <x:v>82</x:v>
      </x:c>
      <x:c r="L55" s="14" t="n">
        <x:v>100</x:v>
      </x:c>
      <x:c r="M55" s="14" t="n">
        <x:v>90</x:v>
      </x:c>
      <x:c r="N55" s="14" t="n">
        <x:f>ROUND(AVERAGE(H55:M55),0)</x:f>
        <x:v>87</x:v>
      </x:c>
      <x:c r="O55" s="12" t="str">
        <x:f>IF(N55&gt;=80,"Высокий",IF(N55&gt;=60,"Средний","Низкий"))</x:f>
        <x:v>Высокий</x:v>
      </x:c>
      <x:c r="P55" s="12" t="str">
        <x:f>IF(N55&gt;=80,"Низкий",IF(N55&gt;=60,"Средний","Высокий"))</x:f>
        <x:v>Низкий</x:v>
      </x:c>
      <x:c r="Q55" s="12" t="str">
        <x:f>IF(MIN(H55:M55)=H55,"Основы цифровой грамотности",IF(MIN(H55:M55)=I55,"Менеджер паролей и 2FA",IF(MIN(H55:M55)=J55,"Персональные данные без утечек",IF(MIN(H55:M55)=K55,"Антифишинг: распознавание угроз",IF(MIN(H55:M55)=L55,"Безопасные платежи и госуслуги","Безопасность в соцсетях")))))</x:f>
        <x:v>Персональные данные без утечек</x:v>
      </x:c>
      <x:c r="R55" s="12" t="str">
        <x:v>2026-05</x:v>
      </x:c>
      <x:c r="S55" s="12" t="str">
        <x:v>онлайн-анкета</x:v>
      </x:c>
    </x:row>
    <x:row r="56">
      <x:c r="A56" s="12" t="n">
        <x:v>55</x:v>
      </x:c>
      <x:c r="B56" s="12" t="str">
        <x:v>Татарстан</x:v>
      </x:c>
      <x:c r="C56" s="12" t="str">
        <x:v>малый город</x:v>
      </x:c>
      <x:c r="D56" s="12" t="str">
        <x:v>25-34</x:v>
      </x:c>
      <x:c r="E56" s="12" t="str">
        <x:v>Мужской</x:v>
      </x:c>
      <x:c r="F56" s="12" t="str">
        <x:v>высшее</x:v>
      </x:c>
      <x:c r="G56" s="12" t="str">
        <x:v>нестабильный</x:v>
      </x:c>
      <x:c r="H56" s="14" t="n">
        <x:v>78</x:v>
      </x:c>
      <x:c r="I56" s="14" t="n">
        <x:v>79</x:v>
      </x:c>
      <x:c r="J56" s="14" t="n">
        <x:v>60</x:v>
      </x:c>
      <x:c r="K56" s="14" t="n">
        <x:v>56</x:v>
      </x:c>
      <x:c r="L56" s="14" t="n">
        <x:v>77</x:v>
      </x:c>
      <x:c r="M56" s="14" t="n">
        <x:v>71</x:v>
      </x:c>
      <x:c r="N56" s="14" t="n">
        <x:f>ROUND(AVERAGE(H56:M56),0)</x:f>
        <x:v>70</x:v>
      </x:c>
      <x:c r="O56" s="12" t="str">
        <x:f>IF(N56&gt;=80,"Высокий",IF(N56&gt;=60,"Средний","Низкий"))</x:f>
        <x:v>Средний</x:v>
      </x:c>
      <x:c r="P56" s="12" t="str">
        <x:f>IF(N56&gt;=80,"Низкий",IF(N56&gt;=60,"Средний","Высокий"))</x:f>
        <x:v>Средний</x:v>
      </x:c>
      <x:c r="Q56" s="12" t="str">
        <x:f>IF(MIN(H56:M56)=H56,"Основы цифровой грамотности",IF(MIN(H56:M56)=I56,"Менеджер паролей и 2FA",IF(MIN(H56:M56)=J56,"Персональные данные без утечек",IF(MIN(H56:M56)=K56,"Антифишинг: распознавание угроз",IF(MIN(H56:M56)=L56,"Безопасные платежи и госуслуги","Безопасность в соцсетях")))))</x:f>
        <x:v>Антифишинг: распознавание угроз</x:v>
      </x:c>
      <x:c r="R56" s="12" t="str">
        <x:v>2026-06</x:v>
      </x:c>
      <x:c r="S56" s="12" t="str">
        <x:v>онлайн-анкета</x:v>
      </x:c>
    </x:row>
    <x:row r="57">
      <x:c r="A57" s="12" t="n">
        <x:v>56</x:v>
      </x:c>
      <x:c r="B57" s="12" t="str">
        <x:v>Татарстан</x:v>
      </x:c>
      <x:c r="C57" s="12" t="str">
        <x:v>малый город</x:v>
      </x:c>
      <x:c r="D57" s="12" t="str">
        <x:v>25-34</x:v>
      </x:c>
      <x:c r="E57" s="12" t="str">
        <x:v>Мужской</x:v>
      </x:c>
      <x:c r="F57" s="12" t="str">
        <x:v>среднее</x:v>
      </x:c>
      <x:c r="G57" s="12" t="str">
        <x:v>постоянный</x:v>
      </x:c>
      <x:c r="H57" s="14" t="n">
        <x:v>94</x:v>
      </x:c>
      <x:c r="I57" s="14" t="n">
        <x:v>66</x:v>
      </x:c>
      <x:c r="J57" s="14" t="n">
        <x:v>63</x:v>
      </x:c>
      <x:c r="K57" s="14" t="n">
        <x:v>67</x:v>
      </x:c>
      <x:c r="L57" s="14" t="n">
        <x:v>71</x:v>
      </x:c>
      <x:c r="M57" s="14" t="n">
        <x:v>79</x:v>
      </x:c>
      <x:c r="N57" s="14" t="n">
        <x:f>ROUND(AVERAGE(H57:M57),0)</x:f>
        <x:v>73</x:v>
      </x:c>
      <x:c r="O57" s="12" t="str">
        <x:f>IF(N57&gt;=80,"Высокий",IF(N57&gt;=60,"Средний","Низкий"))</x:f>
        <x:v>Средний</x:v>
      </x:c>
      <x:c r="P57" s="12" t="str">
        <x:f>IF(N57&gt;=80,"Низкий",IF(N57&gt;=60,"Средний","Высокий"))</x:f>
        <x:v>Средний</x:v>
      </x:c>
      <x:c r="Q57" s="12" t="str">
        <x:f>IF(MIN(H57:M57)=H57,"Основы цифровой грамотности",IF(MIN(H57:M57)=I57,"Менеджер паролей и 2FA",IF(MIN(H57:M57)=J57,"Персональные данные без утечек",IF(MIN(H57:M57)=K57,"Антифишинг: распознавание угроз",IF(MIN(H57:M57)=L57,"Безопасные платежи и госуслуги","Безопасность в соцсетях")))))</x:f>
        <x:v>Персональные данные без утечек</x:v>
      </x:c>
      <x:c r="R57" s="12" t="str">
        <x:v>2026-06</x:v>
      </x:c>
      <x:c r="S57" s="12" t="str">
        <x:v>курс SafeNet</x:v>
      </x:c>
    </x:row>
    <x:row r="58">
      <x:c r="A58" s="12" t="n">
        <x:v>57</x:v>
      </x:c>
      <x:c r="B58" s="12" t="str">
        <x:v>Башкортостан</x:v>
      </x:c>
      <x:c r="C58" s="12" t="str">
        <x:v>крупный город</x:v>
      </x:c>
      <x:c r="D58" s="12" t="str">
        <x:v>14-17</x:v>
      </x:c>
      <x:c r="E58" s="12" t="str">
        <x:v>Мужской</x:v>
      </x:c>
      <x:c r="F58" s="12" t="str">
        <x:v>среднее</x:v>
      </x:c>
      <x:c r="G58" s="12" t="str">
        <x:v>постоянный</x:v>
      </x:c>
      <x:c r="H58" s="14" t="n">
        <x:v>69</x:v>
      </x:c>
      <x:c r="I58" s="14" t="n">
        <x:v>75</x:v>
      </x:c>
      <x:c r="J58" s="14" t="n">
        <x:v>83</x:v>
      </x:c>
      <x:c r="K58" s="14" t="n">
        <x:v>76</x:v>
      </x:c>
      <x:c r="L58" s="14" t="n">
        <x:v>83</x:v>
      </x:c>
      <x:c r="M58" s="14" t="n">
        <x:v>80</x:v>
      </x:c>
      <x:c r="N58" s="14" t="n">
        <x:f>ROUND(AVERAGE(H58:M58),0)</x:f>
        <x:v>78</x:v>
      </x:c>
      <x:c r="O58" s="12" t="str">
        <x:f>IF(N58&gt;=80,"Высокий",IF(N58&gt;=60,"Средний","Низкий"))</x:f>
        <x:v>Средний</x:v>
      </x:c>
      <x:c r="P58" s="12" t="str">
        <x:f>IF(N58&gt;=80,"Низкий",IF(N58&gt;=60,"Средний","Высокий"))</x:f>
        <x:v>Средний</x:v>
      </x:c>
      <x:c r="Q58" s="12" t="str">
        <x:f>IF(MIN(H58:M58)=H58,"Основы цифровой грамотности",IF(MIN(H58:M58)=I58,"Менеджер паролей и 2FA",IF(MIN(H58:M58)=J58,"Персональные данные без утечек",IF(MIN(H58:M58)=K58,"Антифишинг: распознавание угроз",IF(MIN(H58:M58)=L58,"Безопасные платежи и госуслуги","Безопасность в соцсетях")))))</x:f>
        <x:v>Основы цифровой грамотности</x:v>
      </x:c>
      <x:c r="R58" s="12" t="str">
        <x:v>2026-01</x:v>
      </x:c>
      <x:c r="S58" s="12" t="str">
        <x:v>опрос в центре</x:v>
      </x:c>
    </x:row>
    <x:row r="59">
      <x:c r="A59" s="12" t="n">
        <x:v>58</x:v>
      </x:c>
      <x:c r="B59" s="12" t="str">
        <x:v>Приморский край</x:v>
      </x:c>
      <x:c r="C59" s="12" t="str">
        <x:v>малый город</x:v>
      </x:c>
      <x:c r="D59" s="12" t="str">
        <x:v>18-24</x:v>
      </x:c>
      <x:c r="E59" s="12" t="str">
        <x:v>Мужской</x:v>
      </x:c>
      <x:c r="F59" s="12" t="str">
        <x:v>высшее</x:v>
      </x:c>
      <x:c r="G59" s="12" t="str">
        <x:v>постоянный</x:v>
      </x:c>
      <x:c r="H59" s="14" t="n">
        <x:v>100</x:v>
      </x:c>
      <x:c r="I59" s="14" t="n">
        <x:v>93</x:v>
      </x:c>
      <x:c r="J59" s="14" t="n">
        <x:v>87</x:v>
      </x:c>
      <x:c r="K59" s="14" t="n">
        <x:v>68</x:v>
      </x:c>
      <x:c r="L59" s="14" t="n">
        <x:v>92</x:v>
      </x:c>
      <x:c r="M59" s="14" t="n">
        <x:v>88</x:v>
      </x:c>
      <x:c r="N59" s="14" t="n">
        <x:f>ROUND(AVERAGE(H59:M59),0)</x:f>
        <x:v>88</x:v>
      </x:c>
      <x:c r="O59" s="12" t="str">
        <x:f>IF(N59&gt;=80,"Высокий",IF(N59&gt;=60,"Средний","Низкий"))</x:f>
        <x:v>Высокий</x:v>
      </x:c>
      <x:c r="P59" s="12" t="str">
        <x:f>IF(N59&gt;=80,"Низкий",IF(N59&gt;=60,"Средний","Высокий"))</x:f>
        <x:v>Низкий</x:v>
      </x:c>
      <x:c r="Q59" s="12" t="str">
        <x:f>IF(MIN(H59:M59)=H59,"Основы цифровой грамотности",IF(MIN(H59:M59)=I59,"Менеджер паролей и 2FA",IF(MIN(H59:M59)=J59,"Персональные данные без утечек",IF(MIN(H59:M59)=K59,"Антифишинг: распознавание угроз",IF(MIN(H59:M59)=L59,"Безопасные платежи и госуслуги","Безопасность в соцсетях")))))</x:f>
        <x:v>Антифишинг: распознавание угроз</x:v>
      </x:c>
      <x:c r="R59" s="12" t="str">
        <x:v>2026-05</x:v>
      </x:c>
      <x:c r="S59" s="12" t="str">
        <x:v>школьный модуль</x:v>
      </x:c>
    </x:row>
    <x:row r="60">
      <x:c r="A60" s="12" t="n">
        <x:v>59</x:v>
      </x:c>
      <x:c r="B60" s="12" t="str">
        <x:v>Башкортостан</x:v>
      </x:c>
      <x:c r="C60" s="12" t="str">
        <x:v>село</x:v>
      </x:c>
      <x:c r="D60" s="12" t="str">
        <x:v>45-60</x:v>
      </x:c>
      <x:c r="E60" s="12" t="str">
        <x:v>Мужской</x:v>
      </x:c>
      <x:c r="F60" s="12" t="str">
        <x:v>обучающийся</x:v>
      </x:c>
      <x:c r="G60" s="12" t="str">
        <x:v>постоянный</x:v>
      </x:c>
      <x:c r="H60" s="14" t="n">
        <x:v>46</x:v>
      </x:c>
      <x:c r="I60" s="14" t="n">
        <x:v>47</x:v>
      </x:c>
      <x:c r="J60" s="14" t="n">
        <x:v>62</x:v>
      </x:c>
      <x:c r="K60" s="14" t="n">
        <x:v>42</x:v>
      </x:c>
      <x:c r="L60" s="14" t="n">
        <x:v>67</x:v>
      </x:c>
      <x:c r="M60" s="14" t="n">
        <x:v>35</x:v>
      </x:c>
      <x:c r="N60" s="14" t="n">
        <x:f>ROUND(AVERAGE(H60:M60),0)</x:f>
        <x:v>50</x:v>
      </x:c>
      <x:c r="O60" s="12" t="str">
        <x:f>IF(N60&gt;=80,"Высокий",IF(N60&gt;=60,"Средний","Низкий"))</x:f>
        <x:v>Низкий</x:v>
      </x:c>
      <x:c r="P60" s="12" t="str">
        <x:f>IF(N60&gt;=80,"Низкий",IF(N60&gt;=60,"Средний","Высокий"))</x:f>
        <x:v>Высокий</x:v>
      </x:c>
      <x:c r="Q60" s="12" t="str">
        <x:f>IF(MIN(H60:M60)=H60,"Основы цифровой грамотности",IF(MIN(H60:M60)=I60,"Менеджер паролей и 2FA",IF(MIN(H60:M60)=J60,"Персональные данные без утечек",IF(MIN(H60:M60)=K60,"Антифишинг: распознавание угроз",IF(MIN(H60:M60)=L60,"Безопасные платежи и госуслуги","Безопасность в соцсетях")))))</x:f>
        <x:v>Безопасность в соцсетях</x:v>
      </x:c>
      <x:c r="R60" s="12" t="str">
        <x:v>2026-03</x:v>
      </x:c>
      <x:c r="S60" s="12" t="str">
        <x:v>школьный модуль</x:v>
      </x:c>
    </x:row>
    <x:row r="61">
      <x:c r="A61" s="12" t="n">
        <x:v>60</x:v>
      </x:c>
      <x:c r="B61" s="12" t="str">
        <x:v>Москва</x:v>
      </x:c>
      <x:c r="C61" s="12" t="str">
        <x:v>крупный город</x:v>
      </x:c>
      <x:c r="D61" s="12" t="str">
        <x:v>18-24</x:v>
      </x:c>
      <x:c r="E61" s="12" t="str">
        <x:v>Мужской</x:v>
      </x:c>
      <x:c r="F61" s="12" t="str">
        <x:v>обучающийся</x:v>
      </x:c>
      <x:c r="G61" s="12" t="str">
        <x:v>постоянный</x:v>
      </x:c>
      <x:c r="H61" s="14" t="n">
        <x:v>98</x:v>
      </x:c>
      <x:c r="I61" s="14" t="n">
        <x:v>81</x:v>
      </x:c>
      <x:c r="J61" s="14" t="n">
        <x:v>89</x:v>
      </x:c>
      <x:c r="K61" s="14" t="n">
        <x:v>89</x:v>
      </x:c>
      <x:c r="L61" s="14" t="n">
        <x:v>76</x:v>
      </x:c>
      <x:c r="M61" s="14" t="n">
        <x:v>90</x:v>
      </x:c>
      <x:c r="N61" s="14" t="n">
        <x:f>ROUND(AVERAGE(H61:M61),0)</x:f>
        <x:v>87</x:v>
      </x:c>
      <x:c r="O61" s="12" t="str">
        <x:f>IF(N61&gt;=80,"Высокий",IF(N61&gt;=60,"Средний","Низкий"))</x:f>
        <x:v>Высокий</x:v>
      </x:c>
      <x:c r="P61" s="12" t="str">
        <x:f>IF(N61&gt;=80,"Низкий",IF(N61&gt;=60,"Средний","Высокий"))</x:f>
        <x:v>Низкий</x:v>
      </x:c>
      <x:c r="Q61" s="12" t="str">
        <x:f>IF(MIN(H61:M61)=H61,"Основы цифровой грамотности",IF(MIN(H61:M61)=I61,"Менеджер паролей и 2FA",IF(MIN(H61:M61)=J61,"Персональные данные без утечек",IF(MIN(H61:M61)=K61,"Антифишинг: распознавание угроз",IF(MIN(H61:M61)=L61,"Безопасные платежи и госуслуги","Безопасность в соцсетях")))))</x:f>
        <x:v>Безопасные платежи и госуслуги</x:v>
      </x:c>
      <x:c r="R61" s="12" t="str">
        <x:v>2026-03</x:v>
      </x:c>
      <x:c r="S61" s="12" t="str">
        <x:v>опрос в центре</x:v>
      </x:c>
    </x:row>
    <x:row r="62">
      <x:c r="A62" s="12" t="n">
        <x:v>61</x:v>
      </x:c>
      <x:c r="B62" s="12" t="str">
        <x:v>Приморский край</x:v>
      </x:c>
      <x:c r="C62" s="12" t="str">
        <x:v>крупный город</x:v>
      </x:c>
      <x:c r="D62" s="12" t="str">
        <x:v>18-24</x:v>
      </x:c>
      <x:c r="E62" s="12" t="str">
        <x:v>Женский</x:v>
      </x:c>
      <x:c r="F62" s="12" t="str">
        <x:v>обучающийся</x:v>
      </x:c>
      <x:c r="G62" s="12" t="str">
        <x:v>нестабильный</x:v>
      </x:c>
      <x:c r="H62" s="14" t="n">
        <x:v>74</x:v>
      </x:c>
      <x:c r="I62" s="14" t="n">
        <x:v>81</x:v>
      </x:c>
      <x:c r="J62" s="14" t="n">
        <x:v>55</x:v>
      </x:c>
      <x:c r="K62" s="14" t="n">
        <x:v>78</x:v>
      </x:c>
      <x:c r="L62" s="14" t="n">
        <x:v>56</x:v>
      </x:c>
      <x:c r="M62" s="14" t="n">
        <x:v>95</x:v>
      </x:c>
      <x:c r="N62" s="14" t="n">
        <x:f>ROUND(AVERAGE(H62:M62),0)</x:f>
        <x:v>73</x:v>
      </x:c>
      <x:c r="O62" s="12" t="str">
        <x:f>IF(N62&gt;=80,"Высокий",IF(N62&gt;=60,"Средний","Низкий"))</x:f>
        <x:v>Средний</x:v>
      </x:c>
      <x:c r="P62" s="12" t="str">
        <x:f>IF(N62&gt;=80,"Низкий",IF(N62&gt;=60,"Средний","Высокий"))</x:f>
        <x:v>Средний</x:v>
      </x:c>
      <x:c r="Q62" s="12" t="str">
        <x:f>IF(MIN(H62:M62)=H62,"Основы цифровой грамотности",IF(MIN(H62:M62)=I62,"Менеджер паролей и 2FA",IF(MIN(H62:M62)=J62,"Персональные данные без утечек",IF(MIN(H62:M62)=K62,"Антифишинг: распознавание угроз",IF(MIN(H62:M62)=L62,"Безопасные платежи и госуслуги","Безопасность в соцсетях")))))</x:f>
        <x:v>Персональные данные без утечек</x:v>
      </x:c>
      <x:c r="R62" s="12" t="str">
        <x:v>2026-01</x:v>
      </x:c>
      <x:c r="S62" s="12" t="str">
        <x:v>опрос в центре</x:v>
      </x:c>
    </x:row>
    <x:row r="63">
      <x:c r="A63" s="12" t="n">
        <x:v>62</x:v>
      </x:c>
      <x:c r="B63" s="12" t="str">
        <x:v>Ростовская область</x:v>
      </x:c>
      <x:c r="C63" s="12" t="str">
        <x:v>крупный город</x:v>
      </x:c>
      <x:c r="D63" s="12" t="str">
        <x:v>60+</x:v>
      </x:c>
      <x:c r="E63" s="12" t="str">
        <x:v>Женский</x:v>
      </x:c>
      <x:c r="F63" s="12" t="str">
        <x:v>среднее</x:v>
      </x:c>
      <x:c r="G63" s="12" t="str">
        <x:v>постоянный</x:v>
      </x:c>
      <x:c r="H63" s="14" t="n">
        <x:v>58</x:v>
      </x:c>
      <x:c r="I63" s="14" t="n">
        <x:v>46</x:v>
      </x:c>
      <x:c r="J63" s="14" t="n">
        <x:v>52</x:v>
      </x:c>
      <x:c r="K63" s="14" t="n">
        <x:v>47</x:v>
      </x:c>
      <x:c r="L63" s="14" t="n">
        <x:v>64</x:v>
      </x:c>
      <x:c r="M63" s="14" t="n">
        <x:v>65</x:v>
      </x:c>
      <x:c r="N63" s="14" t="n">
        <x:f>ROUND(AVERAGE(H63:M63),0)</x:f>
        <x:v>55</x:v>
      </x:c>
      <x:c r="O63" s="12" t="str">
        <x:f>IF(N63&gt;=80,"Высокий",IF(N63&gt;=60,"Средний","Низкий"))</x:f>
        <x:v>Низкий</x:v>
      </x:c>
      <x:c r="P63" s="12" t="str">
        <x:f>IF(N63&gt;=80,"Низкий",IF(N63&gt;=60,"Средний","Высокий"))</x:f>
        <x:v>Высокий</x:v>
      </x:c>
      <x:c r="Q63" s="12" t="str">
        <x:f>IF(MIN(H63:M63)=H63,"Основы цифровой грамотности",IF(MIN(H63:M63)=I63,"Менеджер паролей и 2FA",IF(MIN(H63:M63)=J63,"Персональные данные без утечек",IF(MIN(H63:M63)=K63,"Антифишинг: распознавание угроз",IF(MIN(H63:M63)=L63,"Безопасные платежи и госуслуги","Безопасность в соцсетях")))))</x:f>
        <x:v>Менеджер паролей и 2FA</x:v>
      </x:c>
      <x:c r="R63" s="12" t="str">
        <x:v>2026-04</x:v>
      </x:c>
      <x:c r="S63" s="12" t="str">
        <x:v>школьный модуль</x:v>
      </x:c>
    </x:row>
    <x:row r="64">
      <x:c r="A64" s="12" t="n">
        <x:v>63</x:v>
      </x:c>
      <x:c r="B64" s="12" t="str">
        <x:v>Краснодарский край</x:v>
      </x:c>
      <x:c r="C64" s="12" t="str">
        <x:v>крупный город</x:v>
      </x:c>
      <x:c r="D64" s="12" t="str">
        <x:v>35-44</x:v>
      </x:c>
      <x:c r="E64" s="12" t="str">
        <x:v>Мужской</x:v>
      </x:c>
      <x:c r="F64" s="12" t="str">
        <x:v>среднее</x:v>
      </x:c>
      <x:c r="G64" s="12" t="str">
        <x:v>постоянный</x:v>
      </x:c>
      <x:c r="H64" s="14" t="n">
        <x:v>67</x:v>
      </x:c>
      <x:c r="I64" s="14" t="n">
        <x:v>82</x:v>
      </x:c>
      <x:c r="J64" s="14" t="n">
        <x:v>46</x:v>
      </x:c>
      <x:c r="K64" s="14" t="n">
        <x:v>62</x:v>
      </x:c>
      <x:c r="L64" s="14" t="n">
        <x:v>56</x:v>
      </x:c>
      <x:c r="M64" s="14" t="n">
        <x:v>53</x:v>
      </x:c>
      <x:c r="N64" s="14" t="n">
        <x:f>ROUND(AVERAGE(H64:M64),0)</x:f>
        <x:v>61</x:v>
      </x:c>
      <x:c r="O64" s="12" t="str">
        <x:f>IF(N64&gt;=80,"Высокий",IF(N64&gt;=60,"Средний","Низкий"))</x:f>
        <x:v>Средний</x:v>
      </x:c>
      <x:c r="P64" s="12" t="str">
        <x:f>IF(N64&gt;=80,"Низкий",IF(N64&gt;=60,"Средний","Высокий"))</x:f>
        <x:v>Средний</x:v>
      </x:c>
      <x:c r="Q64" s="12" t="str">
        <x:f>IF(MIN(H64:M64)=H64,"Основы цифровой грамотности",IF(MIN(H64:M64)=I64,"Менеджер паролей и 2FA",IF(MIN(H64:M64)=J64,"Персональные данные без утечек",IF(MIN(H64:M64)=K64,"Антифишинг: распознавание угроз",IF(MIN(H64:M64)=L64,"Безопасные платежи и госуслуги","Безопасность в соцсетях")))))</x:f>
        <x:v>Персональные данные без утечек</x:v>
      </x:c>
      <x:c r="R64" s="12" t="str">
        <x:v>2026-05</x:v>
      </x:c>
      <x:c r="S64" s="12" t="str">
        <x:v>онлайн-анкета</x:v>
      </x:c>
    </x:row>
    <x:row r="65">
      <x:c r="A65" s="12" t="n">
        <x:v>64</x:v>
      </x:c>
      <x:c r="B65" s="12" t="str">
        <x:v>Новосибирская область</x:v>
      </x:c>
      <x:c r="C65" s="12" t="str">
        <x:v>село</x:v>
      </x:c>
      <x:c r="D65" s="12" t="str">
        <x:v>35-44</x:v>
      </x:c>
      <x:c r="E65" s="12" t="str">
        <x:v>Мужской</x:v>
      </x:c>
      <x:c r="F65" s="12" t="str">
        <x:v>среднее</x:v>
      </x:c>
      <x:c r="G65" s="12" t="str">
        <x:v>ограниченный</x:v>
      </x:c>
      <x:c r="H65" s="14" t="n">
        <x:v>54</x:v>
      </x:c>
      <x:c r="I65" s="14" t="n">
        <x:v>38</x:v>
      </x:c>
      <x:c r="J65" s="14" t="n">
        <x:v>62</x:v>
      </x:c>
      <x:c r="K65" s="14" t="n">
        <x:v>55</x:v>
      </x:c>
      <x:c r="L65" s="14" t="n">
        <x:v>59</x:v>
      </x:c>
      <x:c r="M65" s="14" t="n">
        <x:v>40</x:v>
      </x:c>
      <x:c r="N65" s="14" t="n">
        <x:f>ROUND(AVERAGE(H65:M65),0)</x:f>
        <x:v>51</x:v>
      </x:c>
      <x:c r="O65" s="12" t="str">
        <x:f>IF(N65&gt;=80,"Высокий",IF(N65&gt;=60,"Средний","Низкий"))</x:f>
        <x:v>Низкий</x:v>
      </x:c>
      <x:c r="P65" s="12" t="str">
        <x:f>IF(N65&gt;=80,"Низкий",IF(N65&gt;=60,"Средний","Высокий"))</x:f>
        <x:v>Высокий</x:v>
      </x:c>
      <x:c r="Q65" s="12" t="str">
        <x:f>IF(MIN(H65:M65)=H65,"Основы цифровой грамотности",IF(MIN(H65:M65)=I65,"Менеджер паролей и 2FA",IF(MIN(H65:M65)=J65,"Персональные данные без утечек",IF(MIN(H65:M65)=K65,"Антифишинг: распознавание угроз",IF(MIN(H65:M65)=L65,"Безопасные платежи и госуслуги","Безопасность в соцсетях")))))</x:f>
        <x:v>Менеджер паролей и 2FA</x:v>
      </x:c>
      <x:c r="R65" s="12" t="str">
        <x:v>2026-01</x:v>
      </x:c>
      <x:c r="S65" s="12" t="str">
        <x:v>школьный модуль</x:v>
      </x:c>
    </x:row>
    <x:row r="66">
      <x:c r="A66" s="12" t="n">
        <x:v>65</x:v>
      </x:c>
      <x:c r="B66" s="12" t="str">
        <x:v>Москва</x:v>
      </x:c>
      <x:c r="C66" s="12" t="str">
        <x:v>крупный город</x:v>
      </x:c>
      <x:c r="D66" s="12" t="str">
        <x:v>18-24</x:v>
      </x:c>
      <x:c r="E66" s="12" t="str">
        <x:v>Женский</x:v>
      </x:c>
      <x:c r="F66" s="12" t="str">
        <x:v>обучающийся</x:v>
      </x:c>
      <x:c r="G66" s="12" t="str">
        <x:v>постоянный</x:v>
      </x:c>
      <x:c r="H66" s="14" t="n">
        <x:v>73</x:v>
      </x:c>
      <x:c r="I66" s="14" t="n">
        <x:v>78</x:v>
      </x:c>
      <x:c r="J66" s="14" t="n">
        <x:v>84</x:v>
      </x:c>
      <x:c r="K66" s="14" t="n">
        <x:v>73</x:v>
      </x:c>
      <x:c r="L66" s="14" t="n">
        <x:v>100</x:v>
      </x:c>
      <x:c r="M66" s="14" t="n">
        <x:v>90</x:v>
      </x:c>
      <x:c r="N66" s="14" t="n">
        <x:f>ROUND(AVERAGE(H66:M66),0)</x:f>
        <x:v>83</x:v>
      </x:c>
      <x:c r="O66" s="12" t="str">
        <x:f>IF(N66&gt;=80,"Высокий",IF(N66&gt;=60,"Средний","Низкий"))</x:f>
        <x:v>Высокий</x:v>
      </x:c>
      <x:c r="P66" s="12" t="str">
        <x:f>IF(N66&gt;=80,"Низкий",IF(N66&gt;=60,"Средний","Высокий"))</x:f>
        <x:v>Низкий</x:v>
      </x:c>
      <x:c r="Q66" s="12" t="str">
        <x:f>IF(MIN(H66:M66)=H66,"Основы цифровой грамотности",IF(MIN(H66:M66)=I66,"Менеджер паролей и 2FA",IF(MIN(H66:M66)=J66,"Персональные данные без утечек",IF(MIN(H66:M66)=K66,"Антифишинг: распознавание угроз",IF(MIN(H66:M66)=L66,"Безопасные платежи и госуслуги","Безопасность в соцсетях")))))</x:f>
        <x:v>Основы цифровой грамотности</x:v>
      </x:c>
      <x:c r="R66" s="12" t="str">
        <x:v>2026-05</x:v>
      </x:c>
      <x:c r="S66" s="12" t="str">
        <x:v>опрос в центре</x:v>
      </x:c>
    </x:row>
    <x:row r="67">
      <x:c r="A67" s="12" t="n">
        <x:v>66</x:v>
      </x:c>
      <x:c r="B67" s="12" t="str">
        <x:v>Новосибирская область</x:v>
      </x:c>
      <x:c r="C67" s="12" t="str">
        <x:v>крупный город</x:v>
      </x:c>
      <x:c r="D67" s="12" t="str">
        <x:v>25-34</x:v>
      </x:c>
      <x:c r="E67" s="12" t="str">
        <x:v>Мужской</x:v>
      </x:c>
      <x:c r="F67" s="12" t="str">
        <x:v>высшее</x:v>
      </x:c>
      <x:c r="G67" s="12" t="str">
        <x:v>постоянный</x:v>
      </x:c>
      <x:c r="H67" s="14" t="n">
        <x:v>100</x:v>
      </x:c>
      <x:c r="I67" s="14" t="n">
        <x:v>78</x:v>
      </x:c>
      <x:c r="J67" s="14" t="n">
        <x:v>90</x:v>
      </x:c>
      <x:c r="K67" s="14" t="n">
        <x:v>66</x:v>
      </x:c>
      <x:c r="L67" s="14" t="n">
        <x:v>85</x:v>
      </x:c>
      <x:c r="M67" s="14" t="n">
        <x:v>85</x:v>
      </x:c>
      <x:c r="N67" s="14" t="n">
        <x:f>ROUND(AVERAGE(H67:M67),0)</x:f>
        <x:v>84</x:v>
      </x:c>
      <x:c r="O67" s="12" t="str">
        <x:f>IF(N67&gt;=80,"Высокий",IF(N67&gt;=60,"Средний","Низкий"))</x:f>
        <x:v>Высокий</x:v>
      </x:c>
      <x:c r="P67" s="12" t="str">
        <x:f>IF(N67&gt;=80,"Низкий",IF(N67&gt;=60,"Средний","Высокий"))</x:f>
        <x:v>Низкий</x:v>
      </x:c>
      <x:c r="Q67" s="12" t="str">
        <x:f>IF(MIN(H67:M67)=H67,"Основы цифровой грамотности",IF(MIN(H67:M67)=I67,"Менеджер паролей и 2FA",IF(MIN(H67:M67)=J67,"Персональные данные без утечек",IF(MIN(H67:M67)=K67,"Антифишинг: распознавание угроз",IF(MIN(H67:M67)=L67,"Безопасные платежи и госуслуги","Безопасность в соцсетях")))))</x:f>
        <x:v>Антифишинг: распознавание угроз</x:v>
      </x:c>
      <x:c r="R67" s="12" t="str">
        <x:v>2026-06</x:v>
      </x:c>
      <x:c r="S67" s="12" t="str">
        <x:v>курс SafeNet</x:v>
      </x:c>
    </x:row>
    <x:row r="68">
      <x:c r="A68" s="12" t="n">
        <x:v>67</x:v>
      </x:c>
      <x:c r="B68" s="12" t="str">
        <x:v>Приморский край</x:v>
      </x:c>
      <x:c r="C68" s="12" t="str">
        <x:v>село</x:v>
      </x:c>
      <x:c r="D68" s="12" t="str">
        <x:v>18-24</x:v>
      </x:c>
      <x:c r="E68" s="12" t="str">
        <x:v>Мужской</x:v>
      </x:c>
      <x:c r="F68" s="12" t="str">
        <x:v>среднее</x:v>
      </x:c>
      <x:c r="G68" s="12" t="str">
        <x:v>постоянный</x:v>
      </x:c>
      <x:c r="H68" s="14" t="n">
        <x:v>66</x:v>
      </x:c>
      <x:c r="I68" s="14" t="n">
        <x:v>78</x:v>
      </x:c>
      <x:c r="J68" s="14" t="n">
        <x:v>72</x:v>
      </x:c>
      <x:c r="K68" s="14" t="n">
        <x:v>81</x:v>
      </x:c>
      <x:c r="L68" s="14" t="n">
        <x:v>44</x:v>
      </x:c>
      <x:c r="M68" s="14" t="n">
        <x:v>55</x:v>
      </x:c>
      <x:c r="N68" s="14" t="n">
        <x:f>ROUND(AVERAGE(H68:M68),0)</x:f>
        <x:v>66</x:v>
      </x:c>
      <x:c r="O68" s="12" t="str">
        <x:f>IF(N68&gt;=80,"Высокий",IF(N68&gt;=60,"Средний","Низкий"))</x:f>
        <x:v>Средний</x:v>
      </x:c>
      <x:c r="P68" s="12" t="str">
        <x:f>IF(N68&gt;=80,"Низкий",IF(N68&gt;=60,"Средний","Высокий"))</x:f>
        <x:v>Средний</x:v>
      </x:c>
      <x:c r="Q68" s="12" t="str">
        <x:f>IF(MIN(H68:M68)=H68,"Основы цифровой грамотности",IF(MIN(H68:M68)=I68,"Менеджер паролей и 2FA",IF(MIN(H68:M68)=J68,"Персональные данные без утечек",IF(MIN(H68:M68)=K68,"Антифишинг: распознавание угроз",IF(MIN(H68:M68)=L68,"Безопасные платежи и госуслуги","Безопасность в соцсетях")))))</x:f>
        <x:v>Безопасные платежи и госуслуги</x:v>
      </x:c>
      <x:c r="R68" s="12" t="str">
        <x:v>2026-06</x:v>
      </x:c>
      <x:c r="S68" s="12" t="str">
        <x:v>курс SafeNet</x:v>
      </x:c>
    </x:row>
    <x:row r="69">
      <x:c r="A69" s="12" t="n">
        <x:v>68</x:v>
      </x:c>
      <x:c r="B69" s="12" t="str">
        <x:v>Свердловская область</x:v>
      </x:c>
      <x:c r="C69" s="12" t="str">
        <x:v>село</x:v>
      </x:c>
      <x:c r="D69" s="12" t="str">
        <x:v>14-17</x:v>
      </x:c>
      <x:c r="E69" s="12" t="str">
        <x:v>Женский</x:v>
      </x:c>
      <x:c r="F69" s="12" t="str">
        <x:v>высшее</x:v>
      </x:c>
      <x:c r="G69" s="12" t="str">
        <x:v>постоянный</x:v>
      </x:c>
      <x:c r="H69" s="14" t="n">
        <x:v>91</x:v>
      </x:c>
      <x:c r="I69" s="14" t="n">
        <x:v>60</x:v>
      </x:c>
      <x:c r="J69" s="14" t="n">
        <x:v>64</x:v>
      </x:c>
      <x:c r="K69" s="14" t="n">
        <x:v>43</x:v>
      </x:c>
      <x:c r="L69" s="14" t="n">
        <x:v>80</x:v>
      </x:c>
      <x:c r="M69" s="14" t="n">
        <x:v>53</x:v>
      </x:c>
      <x:c r="N69" s="14" t="n">
        <x:f>ROUND(AVERAGE(H69:M69),0)</x:f>
        <x:v>65</x:v>
      </x:c>
      <x:c r="O69" s="12" t="str">
        <x:f>IF(N69&gt;=80,"Высокий",IF(N69&gt;=60,"Средний","Низкий"))</x:f>
        <x:v>Средний</x:v>
      </x:c>
      <x:c r="P69" s="12" t="str">
        <x:f>IF(N69&gt;=80,"Низкий",IF(N69&gt;=60,"Средний","Высокий"))</x:f>
        <x:v>Средний</x:v>
      </x:c>
      <x:c r="Q69" s="12" t="str">
        <x:f>IF(MIN(H69:M69)=H69,"Основы цифровой грамотности",IF(MIN(H69:M69)=I69,"Менеджер паролей и 2FA",IF(MIN(H69:M69)=J69,"Персональные данные без утечек",IF(MIN(H69:M69)=K69,"Антифишинг: распознавание угроз",IF(MIN(H69:M69)=L69,"Безопасные платежи и госуслуги","Безопасность в соцсетях")))))</x:f>
        <x:v>Антифишинг: распознавание угроз</x:v>
      </x:c>
      <x:c r="R69" s="12" t="str">
        <x:v>2026-02</x:v>
      </x:c>
      <x:c r="S69" s="12" t="str">
        <x:v>опрос в центре</x:v>
      </x:c>
    </x:row>
    <x:row r="70">
      <x:c r="A70" s="12" t="n">
        <x:v>69</x:v>
      </x:c>
      <x:c r="B70" s="12" t="str">
        <x:v>Пермский край</x:v>
      </x:c>
      <x:c r="C70" s="12" t="str">
        <x:v>малый город</x:v>
      </x:c>
      <x:c r="D70" s="12" t="str">
        <x:v>18-24</x:v>
      </x:c>
      <x:c r="E70" s="12" t="str">
        <x:v>Женский</x:v>
      </x:c>
      <x:c r="F70" s="12" t="str">
        <x:v>высшее</x:v>
      </x:c>
      <x:c r="G70" s="12" t="str">
        <x:v>постоянный</x:v>
      </x:c>
      <x:c r="H70" s="14" t="n">
        <x:v>79</x:v>
      </x:c>
      <x:c r="I70" s="14" t="n">
        <x:v>71</x:v>
      </x:c>
      <x:c r="J70" s="14" t="n">
        <x:v>89</x:v>
      </x:c>
      <x:c r="K70" s="14" t="n">
        <x:v>82</x:v>
      </x:c>
      <x:c r="L70" s="14" t="n">
        <x:v>95</x:v>
      </x:c>
      <x:c r="M70" s="14" t="n">
        <x:v>79</x:v>
      </x:c>
      <x:c r="N70" s="14" t="n">
        <x:f>ROUND(AVERAGE(H70:M70),0)</x:f>
        <x:v>83</x:v>
      </x:c>
      <x:c r="O70" s="12" t="str">
        <x:f>IF(N70&gt;=80,"Высокий",IF(N70&gt;=60,"Средний","Низкий"))</x:f>
        <x:v>Высокий</x:v>
      </x:c>
      <x:c r="P70" s="12" t="str">
        <x:f>IF(N70&gt;=80,"Низкий",IF(N70&gt;=60,"Средний","Высокий"))</x:f>
        <x:v>Низкий</x:v>
      </x:c>
      <x:c r="Q70" s="12" t="str">
        <x:f>IF(MIN(H70:M70)=H70,"Основы цифровой грамотности",IF(MIN(H70:M70)=I70,"Менеджер паролей и 2FA",IF(MIN(H70:M70)=J70,"Персональные данные без утечек",IF(MIN(H70:M70)=K70,"Антифишинг: распознавание угроз",IF(MIN(H70:M70)=L70,"Безопасные платежи и госуслуги","Безопасность в соцсетях")))))</x:f>
        <x:v>Менеджер паролей и 2FA</x:v>
      </x:c>
      <x:c r="R70" s="12" t="str">
        <x:v>2026-06</x:v>
      </x:c>
      <x:c r="S70" s="12" t="str">
        <x:v>опрос в центре</x:v>
      </x:c>
    </x:row>
    <x:row r="71">
      <x:c r="A71" s="12" t="n">
        <x:v>70</x:v>
      </x:c>
      <x:c r="B71" s="12" t="str">
        <x:v>Санкт-Петербург</x:v>
      </x:c>
      <x:c r="C71" s="12" t="str">
        <x:v>крупный город</x:v>
      </x:c>
      <x:c r="D71" s="12" t="str">
        <x:v>45-60</x:v>
      </x:c>
      <x:c r="E71" s="12" t="str">
        <x:v>Женский</x:v>
      </x:c>
      <x:c r="F71" s="12" t="str">
        <x:v>высшее</x:v>
      </x:c>
      <x:c r="G71" s="12" t="str">
        <x:v>постоянный</x:v>
      </x:c>
      <x:c r="H71" s="14" t="n">
        <x:v>71</x:v>
      </x:c>
      <x:c r="I71" s="14" t="n">
        <x:v>78</x:v>
      </x:c>
      <x:c r="J71" s="14" t="n">
        <x:v>69</x:v>
      </x:c>
      <x:c r="K71" s="14" t="n">
        <x:v>52</x:v>
      </x:c>
      <x:c r="L71" s="14" t="n">
        <x:v>55</x:v>
      </x:c>
      <x:c r="M71" s="14" t="n">
        <x:v>60</x:v>
      </x:c>
      <x:c r="N71" s="14" t="n">
        <x:f>ROUND(AVERAGE(H71:M71),0)</x:f>
        <x:v>64</x:v>
      </x:c>
      <x:c r="O71" s="12" t="str">
        <x:f>IF(N71&gt;=80,"Высокий",IF(N71&gt;=60,"Средний","Низкий"))</x:f>
        <x:v>Средний</x:v>
      </x:c>
      <x:c r="P71" s="12" t="str">
        <x:f>IF(N71&gt;=80,"Низкий",IF(N71&gt;=60,"Средний","Высокий"))</x:f>
        <x:v>Средний</x:v>
      </x:c>
      <x:c r="Q71" s="12" t="str">
        <x:f>IF(MIN(H71:M71)=H71,"Основы цифровой грамотности",IF(MIN(H71:M71)=I71,"Менеджер паролей и 2FA",IF(MIN(H71:M71)=J71,"Персональные данные без утечек",IF(MIN(H71:M71)=K71,"Антифишинг: распознавание угроз",IF(MIN(H71:M71)=L71,"Безопасные платежи и госуслуги","Безопасность в соцсетях")))))</x:f>
        <x:v>Антифишинг: распознавание угроз</x:v>
      </x:c>
      <x:c r="R71" s="12" t="str">
        <x:v>2026-04</x:v>
      </x:c>
      <x:c r="S71" s="12" t="str">
        <x:v>школьный модуль</x:v>
      </x:c>
    </x:row>
    <x:row r="72">
      <x:c r="A72" s="12" t="n">
        <x:v>71</x:v>
      </x:c>
      <x:c r="B72" s="12" t="str">
        <x:v>Приморский край</x:v>
      </x:c>
      <x:c r="C72" s="12" t="str">
        <x:v>малый город</x:v>
      </x:c>
      <x:c r="D72" s="12" t="str">
        <x:v>45-60</x:v>
      </x:c>
      <x:c r="E72" s="12" t="str">
        <x:v>Мужской</x:v>
      </x:c>
      <x:c r="F72" s="12" t="str">
        <x:v>среднее</x:v>
      </x:c>
      <x:c r="G72" s="12" t="str">
        <x:v>постоянный</x:v>
      </x:c>
      <x:c r="H72" s="14" t="n">
        <x:v>76</x:v>
      </x:c>
      <x:c r="I72" s="14" t="n">
        <x:v>64</x:v>
      </x:c>
      <x:c r="J72" s="14" t="n">
        <x:v>59</x:v>
      </x:c>
      <x:c r="K72" s="14" t="n">
        <x:v>69</x:v>
      </x:c>
      <x:c r="L72" s="14" t="n">
        <x:v>53</x:v>
      </x:c>
      <x:c r="M72" s="14" t="n">
        <x:v>46</x:v>
      </x:c>
      <x:c r="N72" s="14" t="n">
        <x:f>ROUND(AVERAGE(H72:M72),0)</x:f>
        <x:v>61</x:v>
      </x:c>
      <x:c r="O72" s="12" t="str">
        <x:f>IF(N72&gt;=80,"Высокий",IF(N72&gt;=60,"Средний","Низкий"))</x:f>
        <x:v>Средний</x:v>
      </x:c>
      <x:c r="P72" s="12" t="str">
        <x:f>IF(N72&gt;=80,"Низкий",IF(N72&gt;=60,"Средний","Высокий"))</x:f>
        <x:v>Средний</x:v>
      </x:c>
      <x:c r="Q72" s="12" t="str">
        <x:f>IF(MIN(H72:M72)=H72,"Основы цифровой грамотности",IF(MIN(H72:M72)=I72,"Менеджер паролей и 2FA",IF(MIN(H72:M72)=J72,"Персональные данные без утечек",IF(MIN(H72:M72)=K72,"Антифишинг: распознавание угроз",IF(MIN(H72:M72)=L72,"Безопасные платежи и госуслуги","Безопасность в соцсетях")))))</x:f>
        <x:v>Безопасность в соцсетях</x:v>
      </x:c>
      <x:c r="R72" s="12" t="str">
        <x:v>2026-04</x:v>
      </x:c>
      <x:c r="S72" s="12" t="str">
        <x:v>онлайн-анкета</x:v>
      </x:c>
    </x:row>
    <x:row r="73">
      <x:c r="A73" s="12" t="n">
        <x:v>72</x:v>
      </x:c>
      <x:c r="B73" s="12" t="str">
        <x:v>Свердловская область</x:v>
      </x:c>
      <x:c r="C73" s="12" t="str">
        <x:v>крупный город</x:v>
      </x:c>
      <x:c r="D73" s="12" t="str">
        <x:v>25-34</x:v>
      </x:c>
      <x:c r="E73" s="12" t="str">
        <x:v>Женский</x:v>
      </x:c>
      <x:c r="F73" s="12" t="str">
        <x:v>высшее</x:v>
      </x:c>
      <x:c r="G73" s="12" t="str">
        <x:v>постоянный</x:v>
      </x:c>
      <x:c r="H73" s="14" t="n">
        <x:v>76</x:v>
      </x:c>
      <x:c r="I73" s="14" t="n">
        <x:v>65</x:v>
      </x:c>
      <x:c r="J73" s="14" t="n">
        <x:v>88</x:v>
      </x:c>
      <x:c r="K73" s="14" t="n">
        <x:v>54</x:v>
      </x:c>
      <x:c r="L73" s="14" t="n">
        <x:v>85</x:v>
      </x:c>
      <x:c r="M73" s="14" t="n">
        <x:v>81</x:v>
      </x:c>
      <x:c r="N73" s="14" t="n">
        <x:f>ROUND(AVERAGE(H73:M73),0)</x:f>
        <x:v>75</x:v>
      </x:c>
      <x:c r="O73" s="12" t="str">
        <x:f>IF(N73&gt;=80,"Высокий",IF(N73&gt;=60,"Средний","Низкий"))</x:f>
        <x:v>Средний</x:v>
      </x:c>
      <x:c r="P73" s="12" t="str">
        <x:f>IF(N73&gt;=80,"Низкий",IF(N73&gt;=60,"Средний","Высокий"))</x:f>
        <x:v>Средний</x:v>
      </x:c>
      <x:c r="Q73" s="12" t="str">
        <x:f>IF(MIN(H73:M73)=H73,"Основы цифровой грамотности",IF(MIN(H73:M73)=I73,"Менеджер паролей и 2FA",IF(MIN(H73:M73)=J73,"Персональные данные без утечек",IF(MIN(H73:M73)=K73,"Антифишинг: распознавание угроз",IF(MIN(H73:M73)=L73,"Безопасные платежи и госуслуги","Безопасность в соцсетях")))))</x:f>
        <x:v>Антифишинг: распознавание угроз</x:v>
      </x:c>
      <x:c r="R73" s="12" t="str">
        <x:v>2026-05</x:v>
      </x:c>
      <x:c r="S73" s="12" t="str">
        <x:v>опрос в центре</x:v>
      </x:c>
    </x:row>
    <x:row r="74">
      <x:c r="A74" s="12" t="n">
        <x:v>73</x:v>
      </x:c>
      <x:c r="B74" s="12" t="str">
        <x:v>Нижегородская область</x:v>
      </x:c>
      <x:c r="C74" s="12" t="str">
        <x:v>малый город</x:v>
      </x:c>
      <x:c r="D74" s="12" t="str">
        <x:v>14-17</x:v>
      </x:c>
      <x:c r="E74" s="12" t="str">
        <x:v>Женский</x:v>
      </x:c>
      <x:c r="F74" s="12" t="str">
        <x:v>среднее специальное</x:v>
      </x:c>
      <x:c r="G74" s="12" t="str">
        <x:v>нестабильный</x:v>
      </x:c>
      <x:c r="H74" s="14" t="n">
        <x:v>67</x:v>
      </x:c>
      <x:c r="I74" s="14" t="n">
        <x:v>75</x:v>
      </x:c>
      <x:c r="J74" s="14" t="n">
        <x:v>81</x:v>
      </x:c>
      <x:c r="K74" s="14" t="n">
        <x:v>82</x:v>
      </x:c>
      <x:c r="L74" s="14" t="n">
        <x:v>63</x:v>
      </x:c>
      <x:c r="M74" s="14" t="n">
        <x:v>75</x:v>
      </x:c>
      <x:c r="N74" s="14" t="n">
        <x:f>ROUND(AVERAGE(H74:M74),0)</x:f>
        <x:v>74</x:v>
      </x:c>
      <x:c r="O74" s="12" t="str">
        <x:f>IF(N74&gt;=80,"Высокий",IF(N74&gt;=60,"Средний","Низкий"))</x:f>
        <x:v>Средний</x:v>
      </x:c>
      <x:c r="P74" s="12" t="str">
        <x:f>IF(N74&gt;=80,"Низкий",IF(N74&gt;=60,"Средний","Высокий"))</x:f>
        <x:v>Средний</x:v>
      </x:c>
      <x:c r="Q74" s="12" t="str">
        <x:f>IF(MIN(H74:M74)=H74,"Основы цифровой грамотности",IF(MIN(H74:M74)=I74,"Менеджер паролей и 2FA",IF(MIN(H74:M74)=J74,"Персональные данные без утечек",IF(MIN(H74:M74)=K74,"Антифишинг: распознавание угроз",IF(MIN(H74:M74)=L74,"Безопасные платежи и госуслуги","Безопасность в соцсетях")))))</x:f>
        <x:v>Безопасные платежи и госуслуги</x:v>
      </x:c>
      <x:c r="R74" s="12" t="str">
        <x:v>2026-05</x:v>
      </x:c>
      <x:c r="S74" s="12" t="str">
        <x:v>опрос в центре</x:v>
      </x:c>
    </x:row>
    <x:row r="75">
      <x:c r="A75" s="12" t="n">
        <x:v>74</x:v>
      </x:c>
      <x:c r="B75" s="12" t="str">
        <x:v>Башкортостан</x:v>
      </x:c>
      <x:c r="C75" s="12" t="str">
        <x:v>малый город</x:v>
      </x:c>
      <x:c r="D75" s="12" t="str">
        <x:v>25-34</x:v>
      </x:c>
      <x:c r="E75" s="12" t="str">
        <x:v>Мужской</x:v>
      </x:c>
      <x:c r="F75" s="12" t="str">
        <x:v>обучающийся</x:v>
      </x:c>
      <x:c r="G75" s="12" t="str">
        <x:v>постоянный</x:v>
      </x:c>
      <x:c r="H75" s="14" t="n">
        <x:v>87</x:v>
      </x:c>
      <x:c r="I75" s="14" t="n">
        <x:v>69</x:v>
      </x:c>
      <x:c r="J75" s="14" t="n">
        <x:v>73</x:v>
      </x:c>
      <x:c r="K75" s="14" t="n">
        <x:v>64</x:v>
      </x:c>
      <x:c r="L75" s="14" t="n">
        <x:v>70</x:v>
      </x:c>
      <x:c r="M75" s="14" t="n">
        <x:v>73</x:v>
      </x:c>
      <x:c r="N75" s="14" t="n">
        <x:f>ROUND(AVERAGE(H75:M75),0)</x:f>
        <x:v>73</x:v>
      </x:c>
      <x:c r="O75" s="12" t="str">
        <x:f>IF(N75&gt;=80,"Высокий",IF(N75&gt;=60,"Средний","Низкий"))</x:f>
        <x:v>Средний</x:v>
      </x:c>
      <x:c r="P75" s="12" t="str">
        <x:f>IF(N75&gt;=80,"Низкий",IF(N75&gt;=60,"Средний","Высокий"))</x:f>
        <x:v>Средний</x:v>
      </x:c>
      <x:c r="Q75" s="12" t="str">
        <x:f>IF(MIN(H75:M75)=H75,"Основы цифровой грамотности",IF(MIN(H75:M75)=I75,"Менеджер паролей и 2FA",IF(MIN(H75:M75)=J75,"Персональные данные без утечек",IF(MIN(H75:M75)=K75,"Антифишинг: распознавание угроз",IF(MIN(H75:M75)=L75,"Безопасные платежи и госуслуги","Безопасность в соцсетях")))))</x:f>
        <x:v>Антифишинг: распознавание угроз</x:v>
      </x:c>
      <x:c r="R75" s="12" t="str">
        <x:v>2026-03</x:v>
      </x:c>
      <x:c r="S75" s="12" t="str">
        <x:v>онлайн-анкета</x:v>
      </x:c>
    </x:row>
    <x:row r="76">
      <x:c r="A76" s="12" t="n">
        <x:v>75</x:v>
      </x:c>
      <x:c r="B76" s="12" t="str">
        <x:v>Приморский край</x:v>
      </x:c>
      <x:c r="C76" s="12" t="str">
        <x:v>крупный город</x:v>
      </x:c>
      <x:c r="D76" s="12" t="str">
        <x:v>25-34</x:v>
      </x:c>
      <x:c r="E76" s="12" t="str">
        <x:v>Мужской</x:v>
      </x:c>
      <x:c r="F76" s="12" t="str">
        <x:v>высшее</x:v>
      </x:c>
      <x:c r="G76" s="12" t="str">
        <x:v>ограниченный</x:v>
      </x:c>
      <x:c r="H76" s="14" t="n">
        <x:v>76</x:v>
      </x:c>
      <x:c r="I76" s="14" t="n">
        <x:v>64</x:v>
      </x:c>
      <x:c r="J76" s="14" t="n">
        <x:v>64</x:v>
      </x:c>
      <x:c r="K76" s="14" t="n">
        <x:v>54</x:v>
      </x:c>
      <x:c r="L76" s="14" t="n">
        <x:v>79</x:v>
      </x:c>
      <x:c r="M76" s="14" t="n">
        <x:v>66</x:v>
      </x:c>
      <x:c r="N76" s="14" t="n">
        <x:f>ROUND(AVERAGE(H76:M76),0)</x:f>
        <x:v>67</x:v>
      </x:c>
      <x:c r="O76" s="12" t="str">
        <x:f>IF(N76&gt;=80,"Высокий",IF(N76&gt;=60,"Средний","Низкий"))</x:f>
        <x:v>Средний</x:v>
      </x:c>
      <x:c r="P76" s="12" t="str">
        <x:f>IF(N76&gt;=80,"Низкий",IF(N76&gt;=60,"Средний","Высокий"))</x:f>
        <x:v>Средний</x:v>
      </x:c>
      <x:c r="Q76" s="12" t="str">
        <x:f>IF(MIN(H76:M76)=H76,"Основы цифровой грамотности",IF(MIN(H76:M76)=I76,"Менеджер паролей и 2FA",IF(MIN(H76:M76)=J76,"Персональные данные без утечек",IF(MIN(H76:M76)=K76,"Антифишинг: распознавание угроз",IF(MIN(H76:M76)=L76,"Безопасные платежи и госуслуги","Безопасность в соцсетях")))))</x:f>
        <x:v>Антифишинг: распознавание угроз</x:v>
      </x:c>
      <x:c r="R76" s="12" t="str">
        <x:v>2026-02</x:v>
      </x:c>
      <x:c r="S76" s="12" t="str">
        <x:v>онлайн-анкета</x:v>
      </x:c>
    </x:row>
    <x:row r="77">
      <x:c r="A77" s="12" t="n">
        <x:v>76</x:v>
      </x:c>
      <x:c r="B77" s="12" t="str">
        <x:v>Самарская область</x:v>
      </x:c>
      <x:c r="C77" s="12" t="str">
        <x:v>крупный город</x:v>
      </x:c>
      <x:c r="D77" s="12" t="str">
        <x:v>14-17</x:v>
      </x:c>
      <x:c r="E77" s="12" t="str">
        <x:v>Женский</x:v>
      </x:c>
      <x:c r="F77" s="12" t="str">
        <x:v>среднее специальное</x:v>
      </x:c>
      <x:c r="G77" s="12" t="str">
        <x:v>постоянный</x:v>
      </x:c>
      <x:c r="H77" s="14" t="n">
        <x:v>83</x:v>
      </x:c>
      <x:c r="I77" s="14" t="n">
        <x:v>74</x:v>
      </x:c>
      <x:c r="J77" s="14" t="n">
        <x:v>61</x:v>
      </x:c>
      <x:c r="K77" s="14" t="n">
        <x:v>99</x:v>
      </x:c>
      <x:c r="L77" s="14" t="n">
        <x:v>79</x:v>
      </x:c>
      <x:c r="M77" s="14" t="n">
        <x:v>67</x:v>
      </x:c>
      <x:c r="N77" s="14" t="n">
        <x:f>ROUND(AVERAGE(H77:M77),0)</x:f>
        <x:v>77</x:v>
      </x:c>
      <x:c r="O77" s="12" t="str">
        <x:f>IF(N77&gt;=80,"Высокий",IF(N77&gt;=60,"Средний","Низкий"))</x:f>
        <x:v>Средний</x:v>
      </x:c>
      <x:c r="P77" s="12" t="str">
        <x:f>IF(N77&gt;=80,"Низкий",IF(N77&gt;=60,"Средний","Высокий"))</x:f>
        <x:v>Средний</x:v>
      </x:c>
      <x:c r="Q77" s="12" t="str">
        <x:f>IF(MIN(H77:M77)=H77,"Основы цифровой грамотности",IF(MIN(H77:M77)=I77,"Менеджер паролей и 2FA",IF(MIN(H77:M77)=J77,"Персональные данные без утечек",IF(MIN(H77:M77)=K77,"Антифишинг: распознавание угроз",IF(MIN(H77:M77)=L77,"Безопасные платежи и госуслуги","Безопасность в соцсетях")))))</x:f>
        <x:v>Персональные данные без утечек</x:v>
      </x:c>
      <x:c r="R77" s="12" t="str">
        <x:v>2026-02</x:v>
      </x:c>
      <x:c r="S77" s="12" t="str">
        <x:v>школьный модуль</x:v>
      </x:c>
    </x:row>
    <x:row r="78">
      <x:c r="A78" s="12" t="n">
        <x:v>77</x:v>
      </x:c>
      <x:c r="B78" s="12" t="str">
        <x:v>Татарстан</x:v>
      </x:c>
      <x:c r="C78" s="12" t="str">
        <x:v>малый город</x:v>
      </x:c>
      <x:c r="D78" s="12" t="str">
        <x:v>45-60</x:v>
      </x:c>
      <x:c r="E78" s="12" t="str">
        <x:v>Женский</x:v>
      </x:c>
      <x:c r="F78" s="12" t="str">
        <x:v>среднее</x:v>
      </x:c>
      <x:c r="G78" s="12" t="str">
        <x:v>постоянный</x:v>
      </x:c>
      <x:c r="H78" s="14" t="n">
        <x:v>90</x:v>
      </x:c>
      <x:c r="I78" s="14" t="n">
        <x:v>53</x:v>
      </x:c>
      <x:c r="J78" s="14" t="n">
        <x:v>40</x:v>
      </x:c>
      <x:c r="K78" s="14" t="n">
        <x:v>50</x:v>
      </x:c>
      <x:c r="L78" s="14" t="n">
        <x:v>73</x:v>
      </x:c>
      <x:c r="M78" s="14" t="n">
        <x:v>68</x:v>
      </x:c>
      <x:c r="N78" s="14" t="n">
        <x:f>ROUND(AVERAGE(H78:M78),0)</x:f>
        <x:v>62</x:v>
      </x:c>
      <x:c r="O78" s="12" t="str">
        <x:f>IF(N78&gt;=80,"Высокий",IF(N78&gt;=60,"Средний","Низкий"))</x:f>
        <x:v>Средний</x:v>
      </x:c>
      <x:c r="P78" s="12" t="str">
        <x:f>IF(N78&gt;=80,"Низкий",IF(N78&gt;=60,"Средний","Высокий"))</x:f>
        <x:v>Средний</x:v>
      </x:c>
      <x:c r="Q78" s="12" t="str">
        <x:f>IF(MIN(H78:M78)=H78,"Основы цифровой грамотности",IF(MIN(H78:M78)=I78,"Менеджер паролей и 2FA",IF(MIN(H78:M78)=J78,"Персональные данные без утечек",IF(MIN(H78:M78)=K78,"Антифишинг: распознавание угроз",IF(MIN(H78:M78)=L78,"Безопасные платежи и госуслуги","Безопасность в соцсетях")))))</x:f>
        <x:v>Персональные данные без утечек</x:v>
      </x:c>
      <x:c r="R78" s="12" t="str">
        <x:v>2026-03</x:v>
      </x:c>
      <x:c r="S78" s="12" t="str">
        <x:v>опрос в центре</x:v>
      </x:c>
    </x:row>
    <x:row r="79">
      <x:c r="A79" s="12" t="n">
        <x:v>78</x:v>
      </x:c>
      <x:c r="B79" s="12" t="str">
        <x:v>Пермский край</x:v>
      </x:c>
      <x:c r="C79" s="12" t="str">
        <x:v>крупный город</x:v>
      </x:c>
      <x:c r="D79" s="12" t="str">
        <x:v>25-34</x:v>
      </x:c>
      <x:c r="E79" s="12" t="str">
        <x:v>Женский</x:v>
      </x:c>
      <x:c r="F79" s="12" t="str">
        <x:v>обучающийся</x:v>
      </x:c>
      <x:c r="G79" s="12" t="str">
        <x:v>постоянный</x:v>
      </x:c>
      <x:c r="H79" s="14" t="n">
        <x:v>81</x:v>
      </x:c>
      <x:c r="I79" s="14" t="n">
        <x:v>65</x:v>
      </x:c>
      <x:c r="J79" s="14" t="n">
        <x:v>78</x:v>
      </x:c>
      <x:c r="K79" s="14" t="n">
        <x:v>64</x:v>
      </x:c>
      <x:c r="L79" s="14" t="n">
        <x:v>81</x:v>
      </x:c>
      <x:c r="M79" s="14" t="n">
        <x:v>64</x:v>
      </x:c>
      <x:c r="N79" s="14" t="n">
        <x:f>ROUND(AVERAGE(H79:M79),0)</x:f>
        <x:v>72</x:v>
      </x:c>
      <x:c r="O79" s="12" t="str">
        <x:f>IF(N79&gt;=80,"Высокий",IF(N79&gt;=60,"Средний","Низкий"))</x:f>
        <x:v>Средний</x:v>
      </x:c>
      <x:c r="P79" s="12" t="str">
        <x:f>IF(N79&gt;=80,"Низкий",IF(N79&gt;=60,"Средний","Высокий"))</x:f>
        <x:v>Средний</x:v>
      </x:c>
      <x:c r="Q79" s="12" t="str">
        <x:f>IF(MIN(H79:M79)=H79,"Основы цифровой грамотности",IF(MIN(H79:M79)=I79,"Менеджер паролей и 2FA",IF(MIN(H79:M79)=J79,"Персональные данные без утечек",IF(MIN(H79:M79)=K79,"Антифишинг: распознавание угроз",IF(MIN(H79:M79)=L79,"Безопасные платежи и госуслуги","Безопасность в соцсетях")))))</x:f>
        <x:v>Антифишинг: распознавание угроз</x:v>
      </x:c>
      <x:c r="R79" s="12" t="str">
        <x:v>2026-05</x:v>
      </x:c>
      <x:c r="S79" s="12" t="str">
        <x:v>опрос в центре</x:v>
      </x:c>
    </x:row>
    <x:row r="80">
      <x:c r="A80" s="12" t="n">
        <x:v>79</x:v>
      </x:c>
      <x:c r="B80" s="12" t="str">
        <x:v>Пермский край</x:v>
      </x:c>
      <x:c r="C80" s="12" t="str">
        <x:v>малый город</x:v>
      </x:c>
      <x:c r="D80" s="12" t="str">
        <x:v>14-17</x:v>
      </x:c>
      <x:c r="E80" s="12" t="str">
        <x:v>Женский</x:v>
      </x:c>
      <x:c r="F80" s="12" t="str">
        <x:v>обучающийся</x:v>
      </x:c>
      <x:c r="G80" s="12" t="str">
        <x:v>нестабильный</x:v>
      </x:c>
      <x:c r="H80" s="14" t="n">
        <x:v>59</x:v>
      </x:c>
      <x:c r="I80" s="14" t="n">
        <x:v>64</x:v>
      </x:c>
      <x:c r="J80" s="14" t="n">
        <x:v>69</x:v>
      </x:c>
      <x:c r="K80" s="14" t="n">
        <x:v>62</x:v>
      </x:c>
      <x:c r="L80" s="14" t="n">
        <x:v>57</x:v>
      </x:c>
      <x:c r="M80" s="14" t="n">
        <x:v>65</x:v>
      </x:c>
      <x:c r="N80" s="14" t="n">
        <x:f>ROUND(AVERAGE(H80:M80),0)</x:f>
        <x:v>63</x:v>
      </x:c>
      <x:c r="O80" s="12" t="str">
        <x:f>IF(N80&gt;=80,"Высокий",IF(N80&gt;=60,"Средний","Низкий"))</x:f>
        <x:v>Средний</x:v>
      </x:c>
      <x:c r="P80" s="12" t="str">
        <x:f>IF(N80&gt;=80,"Низкий",IF(N80&gt;=60,"Средний","Высокий"))</x:f>
        <x:v>Средний</x:v>
      </x:c>
      <x:c r="Q80" s="12" t="str">
        <x:f>IF(MIN(H80:M80)=H80,"Основы цифровой грамотности",IF(MIN(H80:M80)=I80,"Менеджер паролей и 2FA",IF(MIN(H80:M80)=J80,"Персональные данные без утечек",IF(MIN(H80:M80)=K80,"Антифишинг: распознавание угроз",IF(MIN(H80:M80)=L80,"Безопасные платежи и госуслуги","Безопасность в соцсетях")))))</x:f>
        <x:v>Безопасные платежи и госуслуги</x:v>
      </x:c>
      <x:c r="R80" s="12" t="str">
        <x:v>2026-06</x:v>
      </x:c>
      <x:c r="S80" s="12" t="str">
        <x:v>курс SafeNet</x:v>
      </x:c>
    </x:row>
    <x:row r="81">
      <x:c r="A81" s="12" t="n">
        <x:v>80</x:v>
      </x:c>
      <x:c r="B81" s="12" t="str">
        <x:v>Санкт-Петербург</x:v>
      </x:c>
      <x:c r="C81" s="12" t="str">
        <x:v>крупный город</x:v>
      </x:c>
      <x:c r="D81" s="12" t="str">
        <x:v>45-60</x:v>
      </x:c>
      <x:c r="E81" s="12" t="str">
        <x:v>Мужской</x:v>
      </x:c>
      <x:c r="F81" s="12" t="str">
        <x:v>обучающийся</x:v>
      </x:c>
      <x:c r="G81" s="12" t="str">
        <x:v>постоянный</x:v>
      </x:c>
      <x:c r="H81" s="14" t="n">
        <x:v>76</x:v>
      </x:c>
      <x:c r="I81" s="14" t="n">
        <x:v>71</x:v>
      </x:c>
      <x:c r="J81" s="14" t="n">
        <x:v>48</x:v>
      </x:c>
      <x:c r="K81" s="14" t="n">
        <x:v>51</x:v>
      </x:c>
      <x:c r="L81" s="14" t="n">
        <x:v>53</x:v>
      </x:c>
      <x:c r="M81" s="14" t="n">
        <x:v>69</x:v>
      </x:c>
      <x:c r="N81" s="14" t="n">
        <x:f>ROUND(AVERAGE(H81:M81),0)</x:f>
        <x:v>61</x:v>
      </x:c>
      <x:c r="O81" s="12" t="str">
        <x:f>IF(N81&gt;=80,"Высокий",IF(N81&gt;=60,"Средний","Низкий"))</x:f>
        <x:v>Средний</x:v>
      </x:c>
      <x:c r="P81" s="12" t="str">
        <x:f>IF(N81&gt;=80,"Низкий",IF(N81&gt;=60,"Средний","Высокий"))</x:f>
        <x:v>Средний</x:v>
      </x:c>
      <x:c r="Q81" s="12" t="str">
        <x:f>IF(MIN(H81:M81)=H81,"Основы цифровой грамотности",IF(MIN(H81:M81)=I81,"Менеджер паролей и 2FA",IF(MIN(H81:M81)=J81,"Персональные данные без утечек",IF(MIN(H81:M81)=K81,"Антифишинг: распознавание угроз",IF(MIN(H81:M81)=L81,"Безопасные платежи и госуслуги","Безопасность в соцсетях")))))</x:f>
        <x:v>Персональные данные без утечек</x:v>
      </x:c>
      <x:c r="R81" s="12" t="str">
        <x:v>2026-05</x:v>
      </x:c>
      <x:c r="S81" s="12" t="str">
        <x:v>курс SafeNet</x:v>
      </x:c>
    </x:row>
    <x:row r="82">
      <x:c r="A82" s="12" t="n">
        <x:v>81</x:v>
      </x:c>
      <x:c r="B82" s="12" t="str">
        <x:v>Санкт-Петербург</x:v>
      </x:c>
      <x:c r="C82" s="12" t="str">
        <x:v>крупный город</x:v>
      </x:c>
      <x:c r="D82" s="12" t="str">
        <x:v>45-60</x:v>
      </x:c>
      <x:c r="E82" s="12" t="str">
        <x:v>Мужской</x:v>
      </x:c>
      <x:c r="F82" s="12" t="str">
        <x:v>обучающийся</x:v>
      </x:c>
      <x:c r="G82" s="12" t="str">
        <x:v>постоянный</x:v>
      </x:c>
      <x:c r="H82" s="14" t="n">
        <x:v>75</x:v>
      </x:c>
      <x:c r="I82" s="14" t="n">
        <x:v>52</x:v>
      </x:c>
      <x:c r="J82" s="14" t="n">
        <x:v>69</x:v>
      </x:c>
      <x:c r="K82" s="14" t="n">
        <x:v>51</x:v>
      </x:c>
      <x:c r="L82" s="14" t="n">
        <x:v>71</x:v>
      </x:c>
      <x:c r="M82" s="14" t="n">
        <x:v>53</x:v>
      </x:c>
      <x:c r="N82" s="14" t="n">
        <x:f>ROUND(AVERAGE(H82:M82),0)</x:f>
        <x:v>62</x:v>
      </x:c>
      <x:c r="O82" s="12" t="str">
        <x:f>IF(N82&gt;=80,"Высокий",IF(N82&gt;=60,"Средний","Низкий"))</x:f>
        <x:v>Средний</x:v>
      </x:c>
      <x:c r="P82" s="12" t="str">
        <x:f>IF(N82&gt;=80,"Низкий",IF(N82&gt;=60,"Средний","Высокий"))</x:f>
        <x:v>Средний</x:v>
      </x:c>
      <x:c r="Q82" s="12" t="str">
        <x:f>IF(MIN(H82:M82)=H82,"Основы цифровой грамотности",IF(MIN(H82:M82)=I82,"Менеджер паролей и 2FA",IF(MIN(H82:M82)=J82,"Персональные данные без утечек",IF(MIN(H82:M82)=K82,"Антифишинг: распознавание угроз",IF(MIN(H82:M82)=L82,"Безопасные платежи и госуслуги","Безопасность в соцсетях")))))</x:f>
        <x:v>Антифишинг: распознавание угроз</x:v>
      </x:c>
      <x:c r="R82" s="12" t="str">
        <x:v>2026-04</x:v>
      </x:c>
      <x:c r="S82" s="12" t="str">
        <x:v>онлайн-анкета</x:v>
      </x:c>
    </x:row>
    <x:row r="83">
      <x:c r="A83" s="12" t="n">
        <x:v>82</x:v>
      </x:c>
      <x:c r="B83" s="12" t="str">
        <x:v>Краснодарский край</x:v>
      </x:c>
      <x:c r="C83" s="12" t="str">
        <x:v>малый город</x:v>
      </x:c>
      <x:c r="D83" s="12" t="str">
        <x:v>25-34</x:v>
      </x:c>
      <x:c r="E83" s="12" t="str">
        <x:v>Мужской</x:v>
      </x:c>
      <x:c r="F83" s="12" t="str">
        <x:v>среднее специальное</x:v>
      </x:c>
      <x:c r="G83" s="12" t="str">
        <x:v>постоянный</x:v>
      </x:c>
      <x:c r="H83" s="14" t="n">
        <x:v>90</x:v>
      </x:c>
      <x:c r="I83" s="14" t="n">
        <x:v>91</x:v>
      </x:c>
      <x:c r="J83" s="14" t="n">
        <x:v>90</x:v>
      </x:c>
      <x:c r="K83" s="14" t="n">
        <x:v>78</x:v>
      </x:c>
      <x:c r="L83" s="14" t="n">
        <x:v>78</x:v>
      </x:c>
      <x:c r="M83" s="14" t="n">
        <x:v>73</x:v>
      </x:c>
      <x:c r="N83" s="14" t="n">
        <x:f>ROUND(AVERAGE(H83:M83),0)</x:f>
        <x:v>83</x:v>
      </x:c>
      <x:c r="O83" s="12" t="str">
        <x:f>IF(N83&gt;=80,"Высокий",IF(N83&gt;=60,"Средний","Низкий"))</x:f>
        <x:v>Высокий</x:v>
      </x:c>
      <x:c r="P83" s="12" t="str">
        <x:f>IF(N83&gt;=80,"Низкий",IF(N83&gt;=60,"Средний","Высокий"))</x:f>
        <x:v>Низкий</x:v>
      </x:c>
      <x:c r="Q83" s="12" t="str">
        <x:f>IF(MIN(H83:M83)=H83,"Основы цифровой грамотности",IF(MIN(H83:M83)=I83,"Менеджер паролей и 2FA",IF(MIN(H83:M83)=J83,"Персональные данные без утечек",IF(MIN(H83:M83)=K83,"Антифишинг: распознавание угроз",IF(MIN(H83:M83)=L83,"Безопасные платежи и госуслуги","Безопасность в соцсетях")))))</x:f>
        <x:v>Безопасность в соцсетях</x:v>
      </x:c>
      <x:c r="R83" s="12" t="str">
        <x:v>2026-05</x:v>
      </x:c>
      <x:c r="S83" s="12" t="str">
        <x:v>онлайн-анкета</x:v>
      </x:c>
    </x:row>
    <x:row r="84">
      <x:c r="A84" s="12" t="n">
        <x:v>83</x:v>
      </x:c>
      <x:c r="B84" s="12" t="str">
        <x:v>Пермский край</x:v>
      </x:c>
      <x:c r="C84" s="12" t="str">
        <x:v>малый город</x:v>
      </x:c>
      <x:c r="D84" s="12" t="str">
        <x:v>60+</x:v>
      </x:c>
      <x:c r="E84" s="12" t="str">
        <x:v>Мужской</x:v>
      </x:c>
      <x:c r="F84" s="12" t="str">
        <x:v>высшее</x:v>
      </x:c>
      <x:c r="G84" s="12" t="str">
        <x:v>постоянный</x:v>
      </x:c>
      <x:c r="H84" s="14" t="n">
        <x:v>33</x:v>
      </x:c>
      <x:c r="I84" s="14" t="n">
        <x:v>56</x:v>
      </x:c>
      <x:c r="J84" s="14" t="n">
        <x:v>56</x:v>
      </x:c>
      <x:c r="K84" s="14" t="n">
        <x:v>39</x:v>
      </x:c>
      <x:c r="L84" s="14" t="n">
        <x:v>50</x:v>
      </x:c>
      <x:c r="M84" s="14" t="n">
        <x:v>42</x:v>
      </x:c>
      <x:c r="N84" s="14" t="n">
        <x:f>ROUND(AVERAGE(H84:M84),0)</x:f>
        <x:v>46</x:v>
      </x:c>
      <x:c r="O84" s="12" t="str">
        <x:f>IF(N84&gt;=80,"Высокий",IF(N84&gt;=60,"Средний","Низкий"))</x:f>
        <x:v>Низкий</x:v>
      </x:c>
      <x:c r="P84" s="12" t="str">
        <x:f>IF(N84&gt;=80,"Низкий",IF(N84&gt;=60,"Средний","Высокий"))</x:f>
        <x:v>Высокий</x:v>
      </x:c>
      <x:c r="Q84" s="12" t="str">
        <x:f>IF(MIN(H84:M84)=H84,"Основы цифровой грамотности",IF(MIN(H84:M84)=I84,"Менеджер паролей и 2FA",IF(MIN(H84:M84)=J84,"Персональные данные без утечек",IF(MIN(H84:M84)=K84,"Антифишинг: распознавание угроз",IF(MIN(H84:M84)=L84,"Безопасные платежи и госуслуги","Безопасность в соцсетях")))))</x:f>
        <x:v>Основы цифровой грамотности</x:v>
      </x:c>
      <x:c r="R84" s="12" t="str">
        <x:v>2026-03</x:v>
      </x:c>
      <x:c r="S84" s="12" t="str">
        <x:v>онлайн-анкета</x:v>
      </x:c>
    </x:row>
    <x:row r="85">
      <x:c r="A85" s="12" t="n">
        <x:v>84</x:v>
      </x:c>
      <x:c r="B85" s="12" t="str">
        <x:v>Пермский край</x:v>
      </x:c>
      <x:c r="C85" s="12" t="str">
        <x:v>крупный город</x:v>
      </x:c>
      <x:c r="D85" s="12" t="str">
        <x:v>25-34</x:v>
      </x:c>
      <x:c r="E85" s="12" t="str">
        <x:v>Мужской</x:v>
      </x:c>
      <x:c r="F85" s="12" t="str">
        <x:v>среднее</x:v>
      </x:c>
      <x:c r="G85" s="12" t="str">
        <x:v>постоянный</x:v>
      </x:c>
      <x:c r="H85" s="14" t="n">
        <x:v>87</x:v>
      </x:c>
      <x:c r="I85" s="14" t="n">
        <x:v>69</x:v>
      </x:c>
      <x:c r="J85" s="14" t="n">
        <x:v>73</x:v>
      </x:c>
      <x:c r="K85" s="14" t="n">
        <x:v>73</x:v>
      </x:c>
      <x:c r="L85" s="14" t="n">
        <x:v>78</x:v>
      </x:c>
      <x:c r="M85" s="14" t="n">
        <x:v>83</x:v>
      </x:c>
      <x:c r="N85" s="14" t="n">
        <x:f>ROUND(AVERAGE(H85:M85),0)</x:f>
        <x:v>77</x:v>
      </x:c>
      <x:c r="O85" s="12" t="str">
        <x:f>IF(N85&gt;=80,"Высокий",IF(N85&gt;=60,"Средний","Низкий"))</x:f>
        <x:v>Средний</x:v>
      </x:c>
      <x:c r="P85" s="12" t="str">
        <x:f>IF(N85&gt;=80,"Низкий",IF(N85&gt;=60,"Средний","Высокий"))</x:f>
        <x:v>Средний</x:v>
      </x:c>
      <x:c r="Q85" s="12" t="str">
        <x:f>IF(MIN(H85:M85)=H85,"Основы цифровой грамотности",IF(MIN(H85:M85)=I85,"Менеджер паролей и 2FA",IF(MIN(H85:M85)=J85,"Персональные данные без утечек",IF(MIN(H85:M85)=K85,"Антифишинг: распознавание угроз",IF(MIN(H85:M85)=L85,"Безопасные платежи и госуслуги","Безопасность в соцсетях")))))</x:f>
        <x:v>Менеджер паролей и 2FA</x:v>
      </x:c>
      <x:c r="R85" s="12" t="str">
        <x:v>2026-05</x:v>
      </x:c>
      <x:c r="S85" s="12" t="str">
        <x:v>школьный модуль</x:v>
      </x:c>
    </x:row>
    <x:row r="86">
      <x:c r="A86" s="12" t="n">
        <x:v>85</x:v>
      </x:c>
      <x:c r="B86" s="12" t="str">
        <x:v>Москва</x:v>
      </x:c>
      <x:c r="C86" s="12" t="str">
        <x:v>малый город</x:v>
      </x:c>
      <x:c r="D86" s="12" t="str">
        <x:v>18-24</x:v>
      </x:c>
      <x:c r="E86" s="12" t="str">
        <x:v>Женский</x:v>
      </x:c>
      <x:c r="F86" s="12" t="str">
        <x:v>среднее</x:v>
      </x:c>
      <x:c r="G86" s="12" t="str">
        <x:v>постоянный</x:v>
      </x:c>
      <x:c r="H86" s="14" t="n">
        <x:v>80</x:v>
      </x:c>
      <x:c r="I86" s="14" t="n">
        <x:v>77</x:v>
      </x:c>
      <x:c r="J86" s="14" t="n">
        <x:v>86</x:v>
      </x:c>
      <x:c r="K86" s="14" t="n">
        <x:v>65</x:v>
      </x:c>
      <x:c r="L86" s="14" t="n">
        <x:v>74</x:v>
      </x:c>
      <x:c r="M86" s="14" t="n">
        <x:v>78</x:v>
      </x:c>
      <x:c r="N86" s="14" t="n">
        <x:f>ROUND(AVERAGE(H86:M86),0)</x:f>
        <x:v>77</x:v>
      </x:c>
      <x:c r="O86" s="12" t="str">
        <x:f>IF(N86&gt;=80,"Высокий",IF(N86&gt;=60,"Средний","Низкий"))</x:f>
        <x:v>Средний</x:v>
      </x:c>
      <x:c r="P86" s="12" t="str">
        <x:f>IF(N86&gt;=80,"Низкий",IF(N86&gt;=60,"Средний","Высокий"))</x:f>
        <x:v>Средний</x:v>
      </x:c>
      <x:c r="Q86" s="12" t="str">
        <x:f>IF(MIN(H86:M86)=H86,"Основы цифровой грамотности",IF(MIN(H86:M86)=I86,"Менеджер паролей и 2FA",IF(MIN(H86:M86)=J86,"Персональные данные без утечек",IF(MIN(H86:M86)=K86,"Антифишинг: распознавание угроз",IF(MIN(H86:M86)=L86,"Безопасные платежи и госуслуги","Безопасность в соцсетях")))))</x:f>
        <x:v>Антифишинг: распознавание угроз</x:v>
      </x:c>
      <x:c r="R86" s="12" t="str">
        <x:v>2026-06</x:v>
      </x:c>
      <x:c r="S86" s="12" t="str">
        <x:v>опрос в центре</x:v>
      </x:c>
    </x:row>
    <x:row r="87">
      <x:c r="A87" s="12" t="n">
        <x:v>86</x:v>
      </x:c>
      <x:c r="B87" s="12" t="str">
        <x:v>Башкортостан</x:v>
      </x:c>
      <x:c r="C87" s="12" t="str">
        <x:v>крупный город</x:v>
      </x:c>
      <x:c r="D87" s="12" t="str">
        <x:v>25-34</x:v>
      </x:c>
      <x:c r="E87" s="12" t="str">
        <x:v>Женский</x:v>
      </x:c>
      <x:c r="F87" s="12" t="str">
        <x:v>среднее</x:v>
      </x:c>
      <x:c r="G87" s="12" t="str">
        <x:v>постоянный</x:v>
      </x:c>
      <x:c r="H87" s="14" t="n">
        <x:v>79</x:v>
      </x:c>
      <x:c r="I87" s="14" t="n">
        <x:v>60</x:v>
      </x:c>
      <x:c r="J87" s="14" t="n">
        <x:v>74</x:v>
      </x:c>
      <x:c r="K87" s="14" t="n">
        <x:v>73</x:v>
      </x:c>
      <x:c r="L87" s="14" t="n">
        <x:v>85</x:v>
      </x:c>
      <x:c r="M87" s="14" t="n">
        <x:v>78</x:v>
      </x:c>
      <x:c r="N87" s="14" t="n">
        <x:f>ROUND(AVERAGE(H87:M87),0)</x:f>
        <x:v>75</x:v>
      </x:c>
      <x:c r="O87" s="12" t="str">
        <x:f>IF(N87&gt;=80,"Высокий",IF(N87&gt;=60,"Средний","Низкий"))</x:f>
        <x:v>Средний</x:v>
      </x:c>
      <x:c r="P87" s="12" t="str">
        <x:f>IF(N87&gt;=80,"Низкий",IF(N87&gt;=60,"Средний","Высокий"))</x:f>
        <x:v>Средний</x:v>
      </x:c>
      <x:c r="Q87" s="12" t="str">
        <x:f>IF(MIN(H87:M87)=H87,"Основы цифровой грамотности",IF(MIN(H87:M87)=I87,"Менеджер паролей и 2FA",IF(MIN(H87:M87)=J87,"Персональные данные без утечек",IF(MIN(H87:M87)=K87,"Антифишинг: распознавание угроз",IF(MIN(H87:M87)=L87,"Безопасные платежи и госуслуги","Безопасность в соцсетях")))))</x:f>
        <x:v>Менеджер паролей и 2FA</x:v>
      </x:c>
      <x:c r="R87" s="12" t="str">
        <x:v>2026-03</x:v>
      </x:c>
      <x:c r="S87" s="12" t="str">
        <x:v>курс SafeNet</x:v>
      </x:c>
    </x:row>
    <x:row r="88">
      <x:c r="A88" s="12" t="n">
        <x:v>87</x:v>
      </x:c>
      <x:c r="B88" s="12" t="str">
        <x:v>Нижегородская область</x:v>
      </x:c>
      <x:c r="C88" s="12" t="str">
        <x:v>малый город</x:v>
      </x:c>
      <x:c r="D88" s="12" t="str">
        <x:v>25-34</x:v>
      </x:c>
      <x:c r="E88" s="12" t="str">
        <x:v>Мужской</x:v>
      </x:c>
      <x:c r="F88" s="12" t="str">
        <x:v>среднее</x:v>
      </x:c>
      <x:c r="G88" s="12" t="str">
        <x:v>постоянный</x:v>
      </x:c>
      <x:c r="H88" s="14" t="n">
        <x:v>80</x:v>
      </x:c>
      <x:c r="I88" s="14" t="n">
        <x:v>84</x:v>
      </x:c>
      <x:c r="J88" s="14" t="n">
        <x:v>70</x:v>
      </x:c>
      <x:c r="K88" s="14" t="n">
        <x:v>74</x:v>
      </x:c>
      <x:c r="L88" s="14" t="n">
        <x:v>68</x:v>
      </x:c>
      <x:c r="M88" s="14" t="n">
        <x:v>59</x:v>
      </x:c>
      <x:c r="N88" s="14" t="n">
        <x:f>ROUND(AVERAGE(H88:M88),0)</x:f>
        <x:v>73</x:v>
      </x:c>
      <x:c r="O88" s="12" t="str">
        <x:f>IF(N88&gt;=80,"Высокий",IF(N88&gt;=60,"Средний","Низкий"))</x:f>
        <x:v>Средний</x:v>
      </x:c>
      <x:c r="P88" s="12" t="str">
        <x:f>IF(N88&gt;=80,"Низкий",IF(N88&gt;=60,"Средний","Высокий"))</x:f>
        <x:v>Средний</x:v>
      </x:c>
      <x:c r="Q88" s="12" t="str">
        <x:f>IF(MIN(H88:M88)=H88,"Основы цифровой грамотности",IF(MIN(H88:M88)=I88,"Менеджер паролей и 2FA",IF(MIN(H88:M88)=J88,"Персональные данные без утечек",IF(MIN(H88:M88)=K88,"Антифишинг: распознавание угроз",IF(MIN(H88:M88)=L88,"Безопасные платежи и госуслуги","Безопасность в соцсетях")))))</x:f>
        <x:v>Безопасность в соцсетях</x:v>
      </x:c>
      <x:c r="R88" s="12" t="str">
        <x:v>2026-02</x:v>
      </x:c>
      <x:c r="S88" s="12" t="str">
        <x:v>курс SafeNet</x:v>
      </x:c>
    </x:row>
    <x:row r="89">
      <x:c r="A89" s="12" t="n">
        <x:v>88</x:v>
      </x:c>
      <x:c r="B89" s="12" t="str">
        <x:v>Пермский край</x:v>
      </x:c>
      <x:c r="C89" s="12" t="str">
        <x:v>крупный город</x:v>
      </x:c>
      <x:c r="D89" s="12" t="str">
        <x:v>14-17</x:v>
      </x:c>
      <x:c r="E89" s="12" t="str">
        <x:v>Женский</x:v>
      </x:c>
      <x:c r="F89" s="12" t="str">
        <x:v>обучающийся</x:v>
      </x:c>
      <x:c r="G89" s="12" t="str">
        <x:v>ограниченный</x:v>
      </x:c>
      <x:c r="H89" s="14" t="n">
        <x:v>73</x:v>
      </x:c>
      <x:c r="I89" s="14" t="n">
        <x:v>49</x:v>
      </x:c>
      <x:c r="J89" s="14" t="n">
        <x:v>66</x:v>
      </x:c>
      <x:c r="K89" s="14" t="n">
        <x:v>69</x:v>
      </x:c>
      <x:c r="L89" s="14" t="n">
        <x:v>57</x:v>
      </x:c>
      <x:c r="M89" s="14" t="n">
        <x:v>65</x:v>
      </x:c>
      <x:c r="N89" s="14" t="n">
        <x:f>ROUND(AVERAGE(H89:M89),0)</x:f>
        <x:v>63</x:v>
      </x:c>
      <x:c r="O89" s="12" t="str">
        <x:f>IF(N89&gt;=80,"Высокий",IF(N89&gt;=60,"Средний","Низкий"))</x:f>
        <x:v>Средний</x:v>
      </x:c>
      <x:c r="P89" s="12" t="str">
        <x:f>IF(N89&gt;=80,"Низкий",IF(N89&gt;=60,"Средний","Высокий"))</x:f>
        <x:v>Средний</x:v>
      </x:c>
      <x:c r="Q89" s="12" t="str">
        <x:f>IF(MIN(H89:M89)=H89,"Основы цифровой грамотности",IF(MIN(H89:M89)=I89,"Менеджер паролей и 2FA",IF(MIN(H89:M89)=J89,"Персональные данные без утечек",IF(MIN(H89:M89)=K89,"Антифишинг: распознавание угроз",IF(MIN(H89:M89)=L89,"Безопасные платежи и госуслуги","Безопасность в соцсетях")))))</x:f>
        <x:v>Менеджер паролей и 2FA</x:v>
      </x:c>
      <x:c r="R89" s="12" t="str">
        <x:v>2026-05</x:v>
      </x:c>
      <x:c r="S89" s="12" t="str">
        <x:v>опрос в центре</x:v>
      </x:c>
    </x:row>
    <x:row r="90">
      <x:c r="A90" s="12" t="n">
        <x:v>89</x:v>
      </x:c>
      <x:c r="B90" s="12" t="str">
        <x:v>Ростовская область</x:v>
      </x:c>
      <x:c r="C90" s="12" t="str">
        <x:v>малый город</x:v>
      </x:c>
      <x:c r="D90" s="12" t="str">
        <x:v>25-34</x:v>
      </x:c>
      <x:c r="E90" s="12" t="str">
        <x:v>Мужской</x:v>
      </x:c>
      <x:c r="F90" s="12" t="str">
        <x:v>обучающийся</x:v>
      </x:c>
      <x:c r="G90" s="12" t="str">
        <x:v>постоянный</x:v>
      </x:c>
      <x:c r="H90" s="14" t="n">
        <x:v>64</x:v>
      </x:c>
      <x:c r="I90" s="14" t="n">
        <x:v>82</x:v>
      </x:c>
      <x:c r="J90" s="14" t="n">
        <x:v>63</x:v>
      </x:c>
      <x:c r="K90" s="14" t="n">
        <x:v>74</x:v>
      </x:c>
      <x:c r="L90" s="14" t="n">
        <x:v>82</x:v>
      </x:c>
      <x:c r="M90" s="14" t="n">
        <x:v>75</x:v>
      </x:c>
      <x:c r="N90" s="14" t="n">
        <x:f>ROUND(AVERAGE(H90:M90),0)</x:f>
        <x:v>73</x:v>
      </x:c>
      <x:c r="O90" s="12" t="str">
        <x:f>IF(N90&gt;=80,"Высокий",IF(N90&gt;=60,"Средний","Низкий"))</x:f>
        <x:v>Средний</x:v>
      </x:c>
      <x:c r="P90" s="12" t="str">
        <x:f>IF(N90&gt;=80,"Низкий",IF(N90&gt;=60,"Средний","Высокий"))</x:f>
        <x:v>Средний</x:v>
      </x:c>
      <x:c r="Q90" s="12" t="str">
        <x:f>IF(MIN(H90:M90)=H90,"Основы цифровой грамотности",IF(MIN(H90:M90)=I90,"Менеджер паролей и 2FA",IF(MIN(H90:M90)=J90,"Персональные данные без утечек",IF(MIN(H90:M90)=K90,"Антифишинг: распознавание угроз",IF(MIN(H90:M90)=L90,"Безопасные платежи и госуслуги","Безопасность в соцсетях")))))</x:f>
        <x:v>Персональные данные без утечек</x:v>
      </x:c>
      <x:c r="R90" s="12" t="str">
        <x:v>2026-06</x:v>
      </x:c>
      <x:c r="S90" s="12" t="str">
        <x:v>курс SafeNet</x:v>
      </x:c>
    </x:row>
    <x:row r="91">
      <x:c r="A91" s="12" t="n">
        <x:v>90</x:v>
      </x:c>
      <x:c r="B91" s="12" t="str">
        <x:v>Свердловская область</x:v>
      </x:c>
      <x:c r="C91" s="12" t="str">
        <x:v>крупный город</x:v>
      </x:c>
      <x:c r="D91" s="12" t="str">
        <x:v>18-24</x:v>
      </x:c>
      <x:c r="E91" s="12" t="str">
        <x:v>Женский</x:v>
      </x:c>
      <x:c r="F91" s="12" t="str">
        <x:v>обучающийся</x:v>
      </x:c>
      <x:c r="G91" s="12" t="str">
        <x:v>постоянный</x:v>
      </x:c>
      <x:c r="H91" s="14" t="n">
        <x:v>90</x:v>
      </x:c>
      <x:c r="I91" s="14" t="n">
        <x:v>68</x:v>
      </x:c>
      <x:c r="J91" s="14" t="n">
        <x:v>93</x:v>
      </x:c>
      <x:c r="K91" s="14" t="n">
        <x:v>59</x:v>
      </x:c>
      <x:c r="L91" s="14" t="n">
        <x:v>99</x:v>
      </x:c>
      <x:c r="M91" s="14" t="n">
        <x:v>90</x:v>
      </x:c>
      <x:c r="N91" s="14" t="n">
        <x:f>ROUND(AVERAGE(H91:M91),0)</x:f>
        <x:v>83</x:v>
      </x:c>
      <x:c r="O91" s="12" t="str">
        <x:f>IF(N91&gt;=80,"Высокий",IF(N91&gt;=60,"Средний","Низкий"))</x:f>
        <x:v>Высокий</x:v>
      </x:c>
      <x:c r="P91" s="12" t="str">
        <x:f>IF(N91&gt;=80,"Низкий",IF(N91&gt;=60,"Средний","Высокий"))</x:f>
        <x:v>Низкий</x:v>
      </x:c>
      <x:c r="Q91" s="12" t="str">
        <x:f>IF(MIN(H91:M91)=H91,"Основы цифровой грамотности",IF(MIN(H91:M91)=I91,"Менеджер паролей и 2FA",IF(MIN(H91:M91)=J91,"Персональные данные без утечек",IF(MIN(H91:M91)=K91,"Антифишинг: распознавание угроз",IF(MIN(H91:M91)=L91,"Безопасные платежи и госуслуги","Безопасность в соцсетях")))))</x:f>
        <x:v>Антифишинг: распознавание угроз</x:v>
      </x:c>
      <x:c r="R91" s="12" t="str">
        <x:v>2026-05</x:v>
      </x:c>
      <x:c r="S91" s="12" t="str">
        <x:v>курс SafeNet</x:v>
      </x:c>
    </x:row>
    <x:row r="92">
      <x:c r="A92" s="12" t="n">
        <x:v>91</x:v>
      </x:c>
      <x:c r="B92" s="12" t="str">
        <x:v>Ростовская область</x:v>
      </x:c>
      <x:c r="C92" s="12" t="str">
        <x:v>село</x:v>
      </x:c>
      <x:c r="D92" s="12" t="str">
        <x:v>14-17</x:v>
      </x:c>
      <x:c r="E92" s="12" t="str">
        <x:v>Мужской</x:v>
      </x:c>
      <x:c r="F92" s="12" t="str">
        <x:v>высшее</x:v>
      </x:c>
      <x:c r="G92" s="12" t="str">
        <x:v>постоянный</x:v>
      </x:c>
      <x:c r="H92" s="14" t="n">
        <x:v>72</x:v>
      </x:c>
      <x:c r="I92" s="14" t="n">
        <x:v>81</x:v>
      </x:c>
      <x:c r="J92" s="14" t="n">
        <x:v>78</x:v>
      </x:c>
      <x:c r="K92" s="14" t="n">
        <x:v>69</x:v>
      </x:c>
      <x:c r="L92" s="14" t="n">
        <x:v>60</x:v>
      </x:c>
      <x:c r="M92" s="14" t="n">
        <x:v>62</x:v>
      </x:c>
      <x:c r="N92" s="14" t="n">
        <x:f>ROUND(AVERAGE(H92:M92),0)</x:f>
        <x:v>70</x:v>
      </x:c>
      <x:c r="O92" s="12" t="str">
        <x:f>IF(N92&gt;=80,"Высокий",IF(N92&gt;=60,"Средний","Низкий"))</x:f>
        <x:v>Средний</x:v>
      </x:c>
      <x:c r="P92" s="12" t="str">
        <x:f>IF(N92&gt;=80,"Низкий",IF(N92&gt;=60,"Средний","Высокий"))</x:f>
        <x:v>Средний</x:v>
      </x:c>
      <x:c r="Q92" s="12" t="str">
        <x:f>IF(MIN(H92:M92)=H92,"Основы цифровой грамотности",IF(MIN(H92:M92)=I92,"Менеджер паролей и 2FA",IF(MIN(H92:M92)=J92,"Персональные данные без утечек",IF(MIN(H92:M92)=K92,"Антифишинг: распознавание угроз",IF(MIN(H92:M92)=L92,"Безопасные платежи и госуслуги","Безопасность в соцсетях")))))</x:f>
        <x:v>Безопасные платежи и госуслуги</x:v>
      </x:c>
      <x:c r="R92" s="12" t="str">
        <x:v>2026-06</x:v>
      </x:c>
      <x:c r="S92" s="12" t="str">
        <x:v>опрос в центре</x:v>
      </x:c>
    </x:row>
    <x:row r="93">
      <x:c r="A93" s="12" t="n">
        <x:v>92</x:v>
      </x:c>
      <x:c r="B93" s="12" t="str">
        <x:v>Новосибирская область</x:v>
      </x:c>
      <x:c r="C93" s="12" t="str">
        <x:v>крупный город</x:v>
      </x:c>
      <x:c r="D93" s="12" t="str">
        <x:v>18-24</x:v>
      </x:c>
      <x:c r="E93" s="12" t="str">
        <x:v>Мужской</x:v>
      </x:c>
      <x:c r="F93" s="12" t="str">
        <x:v>высшее</x:v>
      </x:c>
      <x:c r="G93" s="12" t="str">
        <x:v>постоянный</x:v>
      </x:c>
      <x:c r="H93" s="14" t="n">
        <x:v>96</x:v>
      </x:c>
      <x:c r="I93" s="14" t="n">
        <x:v>95</x:v>
      </x:c>
      <x:c r="J93" s="14" t="n">
        <x:v>100</x:v>
      </x:c>
      <x:c r="K93" s="14" t="n">
        <x:v>90</x:v>
      </x:c>
      <x:c r="L93" s="14" t="n">
        <x:v>75</x:v>
      </x:c>
      <x:c r="M93" s="14" t="n">
        <x:v>72</x:v>
      </x:c>
      <x:c r="N93" s="14" t="n">
        <x:f>ROUND(AVERAGE(H93:M93),0)</x:f>
        <x:v>88</x:v>
      </x:c>
      <x:c r="O93" s="12" t="str">
        <x:f>IF(N93&gt;=80,"Высокий",IF(N93&gt;=60,"Средний","Низкий"))</x:f>
        <x:v>Высокий</x:v>
      </x:c>
      <x:c r="P93" s="12" t="str">
        <x:f>IF(N93&gt;=80,"Низкий",IF(N93&gt;=60,"Средний","Высокий"))</x:f>
        <x:v>Низкий</x:v>
      </x:c>
      <x:c r="Q93" s="12" t="str">
        <x:f>IF(MIN(H93:M93)=H93,"Основы цифровой грамотности",IF(MIN(H93:M93)=I93,"Менеджер паролей и 2FA",IF(MIN(H93:M93)=J93,"Персональные данные без утечек",IF(MIN(H93:M93)=K93,"Антифишинг: распознавание угроз",IF(MIN(H93:M93)=L93,"Безопасные платежи и госуслуги","Безопасность в соцсетях")))))</x:f>
        <x:v>Безопасность в соцсетях</x:v>
      </x:c>
      <x:c r="R93" s="12" t="str">
        <x:v>2026-06</x:v>
      </x:c>
      <x:c r="S93" s="12" t="str">
        <x:v>школьный модуль</x:v>
      </x:c>
    </x:row>
    <x:row r="94">
      <x:c r="A94" s="12" t="n">
        <x:v>93</x:v>
      </x:c>
      <x:c r="B94" s="12" t="str">
        <x:v>Татарстан</x:v>
      </x:c>
      <x:c r="C94" s="12" t="str">
        <x:v>крупный город</x:v>
      </x:c>
      <x:c r="D94" s="12" t="str">
        <x:v>25-34</x:v>
      </x:c>
      <x:c r="E94" s="12" t="str">
        <x:v>Мужской</x:v>
      </x:c>
      <x:c r="F94" s="12" t="str">
        <x:v>высшее</x:v>
      </x:c>
      <x:c r="G94" s="12" t="str">
        <x:v>постоянный</x:v>
      </x:c>
      <x:c r="H94" s="14" t="n">
        <x:v>86</x:v>
      </x:c>
      <x:c r="I94" s="14" t="n">
        <x:v>64</x:v>
      </x:c>
      <x:c r="J94" s="14" t="n">
        <x:v>76</x:v>
      </x:c>
      <x:c r="K94" s="14" t="n">
        <x:v>78</x:v>
      </x:c>
      <x:c r="L94" s="14" t="n">
        <x:v>76</x:v>
      </x:c>
      <x:c r="M94" s="14" t="n">
        <x:v>77</x:v>
      </x:c>
      <x:c r="N94" s="14" t="n">
        <x:f>ROUND(AVERAGE(H94:M94),0)</x:f>
        <x:v>76</x:v>
      </x:c>
      <x:c r="O94" s="12" t="str">
        <x:f>IF(N94&gt;=80,"Высокий",IF(N94&gt;=60,"Средний","Низкий"))</x:f>
        <x:v>Средний</x:v>
      </x:c>
      <x:c r="P94" s="12" t="str">
        <x:f>IF(N94&gt;=80,"Низкий",IF(N94&gt;=60,"Средний","Высокий"))</x:f>
        <x:v>Средний</x:v>
      </x:c>
      <x:c r="Q94" s="12" t="str">
        <x:f>IF(MIN(H94:M94)=H94,"Основы цифровой грамотности",IF(MIN(H94:M94)=I94,"Менеджер паролей и 2FA",IF(MIN(H94:M94)=J94,"Персональные данные без утечек",IF(MIN(H94:M94)=K94,"Антифишинг: распознавание угроз",IF(MIN(H94:M94)=L94,"Безопасные платежи и госуслуги","Безопасность в соцсетях")))))</x:f>
        <x:v>Менеджер паролей и 2FA</x:v>
      </x:c>
      <x:c r="R94" s="12" t="str">
        <x:v>2026-01</x:v>
      </x:c>
      <x:c r="S94" s="12" t="str">
        <x:v>онлайн-анкета</x:v>
      </x:c>
    </x:row>
    <x:row r="95">
      <x:c r="A95" s="12" t="n">
        <x:v>94</x:v>
      </x:c>
      <x:c r="B95" s="12" t="str">
        <x:v>Пермский край</x:v>
      </x:c>
      <x:c r="C95" s="12" t="str">
        <x:v>крупный город</x:v>
      </x:c>
      <x:c r="D95" s="12" t="str">
        <x:v>35-44</x:v>
      </x:c>
      <x:c r="E95" s="12" t="str">
        <x:v>Мужской</x:v>
      </x:c>
      <x:c r="F95" s="12" t="str">
        <x:v>среднее специальное</x:v>
      </x:c>
      <x:c r="G95" s="12" t="str">
        <x:v>постоянный</x:v>
      </x:c>
      <x:c r="H95" s="14" t="n">
        <x:v>90</x:v>
      </x:c>
      <x:c r="I95" s="14" t="n">
        <x:v>64</x:v>
      </x:c>
      <x:c r="J95" s="14" t="n">
        <x:v>91</x:v>
      </x:c>
      <x:c r="K95" s="14" t="n">
        <x:v>73</x:v>
      </x:c>
      <x:c r="L95" s="14" t="n">
        <x:v>65</x:v>
      </x:c>
      <x:c r="M95" s="14" t="n">
        <x:v>65</x:v>
      </x:c>
      <x:c r="N95" s="14" t="n">
        <x:f>ROUND(AVERAGE(H95:M95),0)</x:f>
        <x:v>75</x:v>
      </x:c>
      <x:c r="O95" s="12" t="str">
        <x:f>IF(N95&gt;=80,"Высокий",IF(N95&gt;=60,"Средний","Низкий"))</x:f>
        <x:v>Средний</x:v>
      </x:c>
      <x:c r="P95" s="12" t="str">
        <x:f>IF(N95&gt;=80,"Низкий",IF(N95&gt;=60,"Средний","Высокий"))</x:f>
        <x:v>Средний</x:v>
      </x:c>
      <x:c r="Q95" s="12" t="str">
        <x:f>IF(MIN(H95:M95)=H95,"Основы цифровой грамотности",IF(MIN(H95:M95)=I95,"Менеджер паролей и 2FA",IF(MIN(H95:M95)=J95,"Персональные данные без утечек",IF(MIN(H95:M95)=K95,"Антифишинг: распознавание угроз",IF(MIN(H95:M95)=L95,"Безопасные платежи и госуслуги","Безопасность в соцсетях")))))</x:f>
        <x:v>Менеджер паролей и 2FA</x:v>
      </x:c>
      <x:c r="R95" s="12" t="str">
        <x:v>2026-01</x:v>
      </x:c>
      <x:c r="S95" s="12" t="str">
        <x:v>курс SafeNet</x:v>
      </x:c>
    </x:row>
    <x:row r="96">
      <x:c r="A96" s="12" t="n">
        <x:v>95</x:v>
      </x:c>
      <x:c r="B96" s="12" t="str">
        <x:v>Санкт-Петербург</x:v>
      </x:c>
      <x:c r="C96" s="12" t="str">
        <x:v>село</x:v>
      </x:c>
      <x:c r="D96" s="12" t="str">
        <x:v>45-60</x:v>
      </x:c>
      <x:c r="E96" s="12" t="str">
        <x:v>Женский</x:v>
      </x:c>
      <x:c r="F96" s="12" t="str">
        <x:v>высшее</x:v>
      </x:c>
      <x:c r="G96" s="12" t="str">
        <x:v>ограниченный</x:v>
      </x:c>
      <x:c r="H96" s="14" t="n">
        <x:v>58</x:v>
      </x:c>
      <x:c r="I96" s="14" t="n">
        <x:v>48</x:v>
      </x:c>
      <x:c r="J96" s="14" t="n">
        <x:v>57</x:v>
      </x:c>
      <x:c r="K96" s="14" t="n">
        <x:v>43</x:v>
      </x:c>
      <x:c r="L96" s="14" t="n">
        <x:v>55</x:v>
      </x:c>
      <x:c r="M96" s="14" t="n">
        <x:v>39</x:v>
      </x:c>
      <x:c r="N96" s="14" t="n">
        <x:f>ROUND(AVERAGE(H96:M96),0)</x:f>
        <x:v>50</x:v>
      </x:c>
      <x:c r="O96" s="12" t="str">
        <x:f>IF(N96&gt;=80,"Высокий",IF(N96&gt;=60,"Средний","Низкий"))</x:f>
        <x:v>Низкий</x:v>
      </x:c>
      <x:c r="P96" s="12" t="str">
        <x:f>IF(N96&gt;=80,"Низкий",IF(N96&gt;=60,"Средний","Высокий"))</x:f>
        <x:v>Высокий</x:v>
      </x:c>
      <x:c r="Q96" s="12" t="str">
        <x:f>IF(MIN(H96:M96)=H96,"Основы цифровой грамотности",IF(MIN(H96:M96)=I96,"Менеджер паролей и 2FA",IF(MIN(H96:M96)=J96,"Персональные данные без утечек",IF(MIN(H96:M96)=K96,"Антифишинг: распознавание угроз",IF(MIN(H96:M96)=L96,"Безопасные платежи и госуслуги","Безопасность в соцсетях")))))</x:f>
        <x:v>Безопасность в соцсетях</x:v>
      </x:c>
      <x:c r="R96" s="12" t="str">
        <x:v>2026-03</x:v>
      </x:c>
      <x:c r="S96" s="12" t="str">
        <x:v>школьный модуль</x:v>
      </x:c>
    </x:row>
    <x:row r="97">
      <x:c r="A97" s="12" t="n">
        <x:v>96</x:v>
      </x:c>
      <x:c r="B97" s="12" t="str">
        <x:v>Башкортостан</x:v>
      </x:c>
      <x:c r="C97" s="12" t="str">
        <x:v>крупный город</x:v>
      </x:c>
      <x:c r="D97" s="12" t="str">
        <x:v>25-34</x:v>
      </x:c>
      <x:c r="E97" s="12" t="str">
        <x:v>Женский</x:v>
      </x:c>
      <x:c r="F97" s="12" t="str">
        <x:v>высшее</x:v>
      </x:c>
      <x:c r="G97" s="12" t="str">
        <x:v>постоянный</x:v>
      </x:c>
      <x:c r="H97" s="14" t="n">
        <x:v>86</x:v>
      </x:c>
      <x:c r="I97" s="14" t="n">
        <x:v>63</x:v>
      </x:c>
      <x:c r="J97" s="14" t="n">
        <x:v>82</x:v>
      </x:c>
      <x:c r="K97" s="14" t="n">
        <x:v>77</x:v>
      </x:c>
      <x:c r="L97" s="14" t="n">
        <x:v>75</x:v>
      </x:c>
      <x:c r="M97" s="14" t="n">
        <x:v>69</x:v>
      </x:c>
      <x:c r="N97" s="14" t="n">
        <x:f>ROUND(AVERAGE(H97:M97),0)</x:f>
        <x:v>75</x:v>
      </x:c>
      <x:c r="O97" s="12" t="str">
        <x:f>IF(N97&gt;=80,"Высокий",IF(N97&gt;=60,"Средний","Низкий"))</x:f>
        <x:v>Средний</x:v>
      </x:c>
      <x:c r="P97" s="12" t="str">
        <x:f>IF(N97&gt;=80,"Низкий",IF(N97&gt;=60,"Средний","Высокий"))</x:f>
        <x:v>Средний</x:v>
      </x:c>
      <x:c r="Q97" s="12" t="str">
        <x:f>IF(MIN(H97:M97)=H97,"Основы цифровой грамотности",IF(MIN(H97:M97)=I97,"Менеджер паролей и 2FA",IF(MIN(H97:M97)=J97,"Персональные данные без утечек",IF(MIN(H97:M97)=K97,"Антифишинг: распознавание угроз",IF(MIN(H97:M97)=L97,"Безопасные платежи и госуслуги","Безопасность в соцсетях")))))</x:f>
        <x:v>Менеджер паролей и 2FA</x:v>
      </x:c>
      <x:c r="R97" s="12" t="str">
        <x:v>2026-01</x:v>
      </x:c>
      <x:c r="S97" s="12" t="str">
        <x:v>опрос в центре</x:v>
      </x:c>
    </x:row>
    <x:row r="98">
      <x:c r="A98" s="12" t="n">
        <x:v>97</x:v>
      </x:c>
      <x:c r="B98" s="12" t="str">
        <x:v>Краснодарский край</x:v>
      </x:c>
      <x:c r="C98" s="12" t="str">
        <x:v>малый город</x:v>
      </x:c>
      <x:c r="D98" s="12" t="str">
        <x:v>18-24</x:v>
      </x:c>
      <x:c r="E98" s="12" t="str">
        <x:v>Женский</x:v>
      </x:c>
      <x:c r="F98" s="12" t="str">
        <x:v>среднее</x:v>
      </x:c>
      <x:c r="G98" s="12" t="str">
        <x:v>постоянный</x:v>
      </x:c>
      <x:c r="H98" s="14" t="n">
        <x:v>92</x:v>
      </x:c>
      <x:c r="I98" s="14" t="n">
        <x:v>87</x:v>
      </x:c>
      <x:c r="J98" s="14" t="n">
        <x:v>88</x:v>
      </x:c>
      <x:c r="K98" s="14" t="n">
        <x:v>80</x:v>
      </x:c>
      <x:c r="L98" s="14" t="n">
        <x:v>72</x:v>
      </x:c>
      <x:c r="M98" s="14" t="n">
        <x:v>68</x:v>
      </x:c>
      <x:c r="N98" s="14" t="n">
        <x:f>ROUND(AVERAGE(H98:M98),0)</x:f>
        <x:v>81</x:v>
      </x:c>
      <x:c r="O98" s="12" t="str">
        <x:f>IF(N98&gt;=80,"Высокий",IF(N98&gt;=60,"Средний","Низкий"))</x:f>
        <x:v>Высокий</x:v>
      </x:c>
      <x:c r="P98" s="12" t="str">
        <x:f>IF(N98&gt;=80,"Низкий",IF(N98&gt;=60,"Средний","Высокий"))</x:f>
        <x:v>Низкий</x:v>
      </x:c>
      <x:c r="Q98" s="12" t="str">
        <x:f>IF(MIN(H98:M98)=H98,"Основы цифровой грамотности",IF(MIN(H98:M98)=I98,"Менеджер паролей и 2FA",IF(MIN(H98:M98)=J98,"Персональные данные без утечек",IF(MIN(H98:M98)=K98,"Антифишинг: распознавание угроз",IF(MIN(H98:M98)=L98,"Безопасные платежи и госуслуги","Безопасность в соцсетях")))))</x:f>
        <x:v>Безопасность в соцсетях</x:v>
      </x:c>
      <x:c r="R98" s="12" t="str">
        <x:v>2026-06</x:v>
      </x:c>
      <x:c r="S98" s="12" t="str">
        <x:v>курс SafeNet</x:v>
      </x:c>
    </x:row>
    <x:row r="99">
      <x:c r="A99" s="12" t="n">
        <x:v>98</x:v>
      </x:c>
      <x:c r="B99" s="12" t="str">
        <x:v>Ростовская область</x:v>
      </x:c>
      <x:c r="C99" s="12" t="str">
        <x:v>крупный город</x:v>
      </x:c>
      <x:c r="D99" s="12" t="str">
        <x:v>25-34</x:v>
      </x:c>
      <x:c r="E99" s="12" t="str">
        <x:v>Женский</x:v>
      </x:c>
      <x:c r="F99" s="12" t="str">
        <x:v>среднее</x:v>
      </x:c>
      <x:c r="G99" s="12" t="str">
        <x:v>постоянный</x:v>
      </x:c>
      <x:c r="H99" s="14" t="n">
        <x:v>87</x:v>
      </x:c>
      <x:c r="I99" s="14" t="n">
        <x:v>100</x:v>
      </x:c>
      <x:c r="J99" s="14" t="n">
        <x:v>71</x:v>
      </x:c>
      <x:c r="K99" s="14" t="n">
        <x:v>76</x:v>
      </x:c>
      <x:c r="L99" s="14" t="n">
        <x:v>82</x:v>
      </x:c>
      <x:c r="M99" s="14" t="n">
        <x:v>79</x:v>
      </x:c>
      <x:c r="N99" s="14" t="n">
        <x:f>ROUND(AVERAGE(H99:M99),0)</x:f>
        <x:v>83</x:v>
      </x:c>
      <x:c r="O99" s="12" t="str">
        <x:f>IF(N99&gt;=80,"Высокий",IF(N99&gt;=60,"Средний","Низкий"))</x:f>
        <x:v>Высокий</x:v>
      </x:c>
      <x:c r="P99" s="12" t="str">
        <x:f>IF(N99&gt;=80,"Низкий",IF(N99&gt;=60,"Средний","Высокий"))</x:f>
        <x:v>Низкий</x:v>
      </x:c>
      <x:c r="Q99" s="12" t="str">
        <x:f>IF(MIN(H99:M99)=H99,"Основы цифровой грамотности",IF(MIN(H99:M99)=I99,"Менеджер паролей и 2FA",IF(MIN(H99:M99)=J99,"Персональные данные без утечек",IF(MIN(H99:M99)=K99,"Антифишинг: распознавание угроз",IF(MIN(H99:M99)=L99,"Безопасные платежи и госуслуги","Безопасность в соцсетях")))))</x:f>
        <x:v>Персональные данные без утечек</x:v>
      </x:c>
      <x:c r="R99" s="12" t="str">
        <x:v>2026-06</x:v>
      </x:c>
      <x:c r="S99" s="12" t="str">
        <x:v>школьный модуль</x:v>
      </x:c>
    </x:row>
    <x:row r="100">
      <x:c r="A100" s="12" t="n">
        <x:v>99</x:v>
      </x:c>
      <x:c r="B100" s="12" t="str">
        <x:v>Пермский край</x:v>
      </x:c>
      <x:c r="C100" s="12" t="str">
        <x:v>крупный город</x:v>
      </x:c>
      <x:c r="D100" s="12" t="str">
        <x:v>18-24</x:v>
      </x:c>
      <x:c r="E100" s="12" t="str">
        <x:v>Женский</x:v>
      </x:c>
      <x:c r="F100" s="12" t="str">
        <x:v>обучающийся</x:v>
      </x:c>
      <x:c r="G100" s="12" t="str">
        <x:v>постоянный</x:v>
      </x:c>
      <x:c r="H100" s="14" t="n">
        <x:v>94</x:v>
      </x:c>
      <x:c r="I100" s="14" t="n">
        <x:v>66</x:v>
      </x:c>
      <x:c r="J100" s="14" t="n">
        <x:v>84</x:v>
      </x:c>
      <x:c r="K100" s="14" t="n">
        <x:v>73</x:v>
      </x:c>
      <x:c r="L100" s="14" t="n">
        <x:v>73</x:v>
      </x:c>
      <x:c r="M100" s="14" t="n">
        <x:v>84</x:v>
      </x:c>
      <x:c r="N100" s="14" t="n">
        <x:f>ROUND(AVERAGE(H100:M100),0)</x:f>
        <x:v>79</x:v>
      </x:c>
      <x:c r="O100" s="12" t="str">
        <x:f>IF(N100&gt;=80,"Высокий",IF(N100&gt;=60,"Средний","Низкий"))</x:f>
        <x:v>Средний</x:v>
      </x:c>
      <x:c r="P100" s="12" t="str">
        <x:f>IF(N100&gt;=80,"Низкий",IF(N100&gt;=60,"Средний","Высокий"))</x:f>
        <x:v>Средний</x:v>
      </x:c>
      <x:c r="Q100" s="12" t="str">
        <x:f>IF(MIN(H100:M100)=H100,"Основы цифровой грамотности",IF(MIN(H100:M100)=I100,"Менеджер паролей и 2FA",IF(MIN(H100:M100)=J100,"Персональные данные без утечек",IF(MIN(H100:M100)=K100,"Антифишинг: распознавание угроз",IF(MIN(H100:M100)=L100,"Безопасные платежи и госуслуги","Безопасность в соцсетях")))))</x:f>
        <x:v>Менеджер паролей и 2FA</x:v>
      </x:c>
      <x:c r="R100" s="12" t="str">
        <x:v>2026-05</x:v>
      </x:c>
      <x:c r="S100" s="12" t="str">
        <x:v>школьный модуль</x:v>
      </x:c>
    </x:row>
    <x:row r="101">
      <x:c r="A101" s="12" t="n">
        <x:v>100</x:v>
      </x:c>
      <x:c r="B101" s="12" t="str">
        <x:v>Приморский край</x:v>
      </x:c>
      <x:c r="C101" s="12" t="str">
        <x:v>крупный город</x:v>
      </x:c>
      <x:c r="D101" s="12" t="str">
        <x:v>45-60</x:v>
      </x:c>
      <x:c r="E101" s="12" t="str">
        <x:v>Мужской</x:v>
      </x:c>
      <x:c r="F101" s="12" t="str">
        <x:v>обучающийся</x:v>
      </x:c>
      <x:c r="G101" s="12" t="str">
        <x:v>постоянный</x:v>
      </x:c>
      <x:c r="H101" s="14" t="n">
        <x:v>83</x:v>
      </x:c>
      <x:c r="I101" s="14" t="n">
        <x:v>57</x:v>
      </x:c>
      <x:c r="J101" s="14" t="n">
        <x:v>67</x:v>
      </x:c>
      <x:c r="K101" s="14" t="n">
        <x:v>55</x:v>
      </x:c>
      <x:c r="L101" s="14" t="n">
        <x:v>57</x:v>
      </x:c>
      <x:c r="M101" s="14" t="n">
        <x:v>48</x:v>
      </x:c>
      <x:c r="N101" s="14" t="n">
        <x:f>ROUND(AVERAGE(H101:M101),0)</x:f>
        <x:v>61</x:v>
      </x:c>
      <x:c r="O101" s="12" t="str">
        <x:f>IF(N101&gt;=80,"Высокий",IF(N101&gt;=60,"Средний","Низкий"))</x:f>
        <x:v>Средний</x:v>
      </x:c>
      <x:c r="P101" s="12" t="str">
        <x:f>IF(N101&gt;=80,"Низкий",IF(N101&gt;=60,"Средний","Высокий"))</x:f>
        <x:v>Средний</x:v>
      </x:c>
      <x:c r="Q101" s="12" t="str">
        <x:f>IF(MIN(H101:M101)=H101,"Основы цифровой грамотности",IF(MIN(H101:M101)=I101,"Менеджер паролей и 2FA",IF(MIN(H101:M101)=J101,"Персональные данные без утечек",IF(MIN(H101:M101)=K101,"Антифишинг: распознавание угроз",IF(MIN(H101:M101)=L101,"Безопасные платежи и госуслуги","Безопасность в соцсетях")))))</x:f>
        <x:v>Безопасность в соцсетях</x:v>
      </x:c>
      <x:c r="R101" s="12" t="str">
        <x:v>2026-03</x:v>
      </x:c>
      <x:c r="S101" s="12" t="str">
        <x:v>курс SafeNet</x:v>
      </x:c>
    </x:row>
    <x:row r="102">
      <x:c r="A102" s="12" t="n">
        <x:v>101</x:v>
      </x:c>
      <x:c r="B102" s="12" t="str">
        <x:v>Ростовская область</x:v>
      </x:c>
      <x:c r="C102" s="12" t="str">
        <x:v>село</x:v>
      </x:c>
      <x:c r="D102" s="12" t="str">
        <x:v>25-34</x:v>
      </x:c>
      <x:c r="E102" s="12" t="str">
        <x:v>Женский</x:v>
      </x:c>
      <x:c r="F102" s="12" t="str">
        <x:v>среднее</x:v>
      </x:c>
      <x:c r="G102" s="12" t="str">
        <x:v>нестабильный</x:v>
      </x:c>
      <x:c r="H102" s="14" t="n">
        <x:v>68</x:v>
      </x:c>
      <x:c r="I102" s="14" t="n">
        <x:v>56</x:v>
      </x:c>
      <x:c r="J102" s="14" t="n">
        <x:v>62</x:v>
      </x:c>
      <x:c r="K102" s="14" t="n">
        <x:v>73</x:v>
      </x:c>
      <x:c r="L102" s="14" t="n">
        <x:v>72</x:v>
      </x:c>
      <x:c r="M102" s="14" t="n">
        <x:v>51</x:v>
      </x:c>
      <x:c r="N102" s="14" t="n">
        <x:f>ROUND(AVERAGE(H102:M102),0)</x:f>
        <x:v>64</x:v>
      </x:c>
      <x:c r="O102" s="12" t="str">
        <x:f>IF(N102&gt;=80,"Высокий",IF(N102&gt;=60,"Средний","Низкий"))</x:f>
        <x:v>Средний</x:v>
      </x:c>
      <x:c r="P102" s="12" t="str">
        <x:f>IF(N102&gt;=80,"Низкий",IF(N102&gt;=60,"Средний","Высокий"))</x:f>
        <x:v>Средний</x:v>
      </x:c>
      <x:c r="Q102" s="12" t="str">
        <x:f>IF(MIN(H102:M102)=H102,"Основы цифровой грамотности",IF(MIN(H102:M102)=I102,"Менеджер паролей и 2FA",IF(MIN(H102:M102)=J102,"Персональные данные без утечек",IF(MIN(H102:M102)=K102,"Антифишинг: распознавание угроз",IF(MIN(H102:M102)=L102,"Безопасные платежи и госуслуги","Безопасность в соцсетях")))))</x:f>
        <x:v>Безопасность в соцсетях</x:v>
      </x:c>
      <x:c r="R102" s="12" t="str">
        <x:v>2026-03</x:v>
      </x:c>
      <x:c r="S102" s="12" t="str">
        <x:v>онлайн-анкета</x:v>
      </x:c>
    </x:row>
    <x:row r="103">
      <x:c r="A103" s="12" t="n">
        <x:v>102</x:v>
      </x:c>
      <x:c r="B103" s="12" t="str">
        <x:v>Татарстан</x:v>
      </x:c>
      <x:c r="C103" s="12" t="str">
        <x:v>село</x:v>
      </x:c>
      <x:c r="D103" s="12" t="str">
        <x:v>18-24</x:v>
      </x:c>
      <x:c r="E103" s="12" t="str">
        <x:v>Женский</x:v>
      </x:c>
      <x:c r="F103" s="12" t="str">
        <x:v>обучающийся</x:v>
      </x:c>
      <x:c r="G103" s="12" t="str">
        <x:v>постоянный</x:v>
      </x:c>
      <x:c r="H103" s="14" t="n">
        <x:v>53</x:v>
      </x:c>
      <x:c r="I103" s="14" t="n">
        <x:v>79</x:v>
      </x:c>
      <x:c r="J103" s="14" t="n">
        <x:v>73</x:v>
      </x:c>
      <x:c r="K103" s="14" t="n">
        <x:v>79</x:v>
      </x:c>
      <x:c r="L103" s="14" t="n">
        <x:v>71</x:v>
      </x:c>
      <x:c r="M103" s="14" t="n">
        <x:v>71</x:v>
      </x:c>
      <x:c r="N103" s="14" t="n">
        <x:f>ROUND(AVERAGE(H103:M103),0)</x:f>
        <x:v>71</x:v>
      </x:c>
      <x:c r="O103" s="12" t="str">
        <x:f>IF(N103&gt;=80,"Высокий",IF(N103&gt;=60,"Средний","Низкий"))</x:f>
        <x:v>Средний</x:v>
      </x:c>
      <x:c r="P103" s="12" t="str">
        <x:f>IF(N103&gt;=80,"Низкий",IF(N103&gt;=60,"Средний","Высокий"))</x:f>
        <x:v>Средний</x:v>
      </x:c>
      <x:c r="Q103" s="12" t="str">
        <x:f>IF(MIN(H103:M103)=H103,"Основы цифровой грамотности",IF(MIN(H103:M103)=I103,"Менеджер паролей и 2FA",IF(MIN(H103:M103)=J103,"Персональные данные без утечек",IF(MIN(H103:M103)=K103,"Антифишинг: распознавание угроз",IF(MIN(H103:M103)=L103,"Безопасные платежи и госуслуги","Безопасность в соцсетях")))))</x:f>
        <x:v>Основы цифровой грамотности</x:v>
      </x:c>
      <x:c r="R103" s="12" t="str">
        <x:v>2026-05</x:v>
      </x:c>
      <x:c r="S103" s="12" t="str">
        <x:v>школьный модуль</x:v>
      </x:c>
    </x:row>
    <x:row r="104">
      <x:c r="A104" s="12" t="n">
        <x:v>103</x:v>
      </x:c>
      <x:c r="B104" s="12" t="str">
        <x:v>Новосибирская область</x:v>
      </x:c>
      <x:c r="C104" s="12" t="str">
        <x:v>крупный город</x:v>
      </x:c>
      <x:c r="D104" s="12" t="str">
        <x:v>25-34</x:v>
      </x:c>
      <x:c r="E104" s="12" t="str">
        <x:v>Мужской</x:v>
      </x:c>
      <x:c r="F104" s="12" t="str">
        <x:v>среднее специальное</x:v>
      </x:c>
      <x:c r="G104" s="12" t="str">
        <x:v>постоянный</x:v>
      </x:c>
      <x:c r="H104" s="14" t="n">
        <x:v>80</x:v>
      </x:c>
      <x:c r="I104" s="14" t="n">
        <x:v>81</x:v>
      </x:c>
      <x:c r="J104" s="14" t="n">
        <x:v>76</x:v>
      </x:c>
      <x:c r="K104" s="14" t="n">
        <x:v>66</x:v>
      </x:c>
      <x:c r="L104" s="14" t="n">
        <x:v>81</x:v>
      </x:c>
      <x:c r="M104" s="14" t="n">
        <x:v>78</x:v>
      </x:c>
      <x:c r="N104" s="14" t="n">
        <x:f>ROUND(AVERAGE(H104:M104),0)</x:f>
        <x:v>77</x:v>
      </x:c>
      <x:c r="O104" s="12" t="str">
        <x:f>IF(N104&gt;=80,"Высокий",IF(N104&gt;=60,"Средний","Низкий"))</x:f>
        <x:v>Средний</x:v>
      </x:c>
      <x:c r="P104" s="12" t="str">
        <x:f>IF(N104&gt;=80,"Низкий",IF(N104&gt;=60,"Средний","Высокий"))</x:f>
        <x:v>Средний</x:v>
      </x:c>
      <x:c r="Q104" s="12" t="str">
        <x:f>IF(MIN(H104:M104)=H104,"Основы цифровой грамотности",IF(MIN(H104:M104)=I104,"Менеджер паролей и 2FA",IF(MIN(H104:M104)=J104,"Персональные данные без утечек",IF(MIN(H104:M104)=K104,"Антифишинг: распознавание угроз",IF(MIN(H104:M104)=L104,"Безопасные платежи и госуслуги","Безопасность в соцсетях")))))</x:f>
        <x:v>Антифишинг: распознавание угроз</x:v>
      </x:c>
      <x:c r="R104" s="12" t="str">
        <x:v>2026-06</x:v>
      </x:c>
      <x:c r="S104" s="12" t="str">
        <x:v>курс SafeNet</x:v>
      </x:c>
    </x:row>
    <x:row r="105">
      <x:c r="A105" s="12" t="n">
        <x:v>104</x:v>
      </x:c>
      <x:c r="B105" s="12" t="str">
        <x:v>Самарская область</x:v>
      </x:c>
      <x:c r="C105" s="12" t="str">
        <x:v>село</x:v>
      </x:c>
      <x:c r="D105" s="12" t="str">
        <x:v>35-44</x:v>
      </x:c>
      <x:c r="E105" s="12" t="str">
        <x:v>Женский</x:v>
      </x:c>
      <x:c r="F105" s="12" t="str">
        <x:v>высшее</x:v>
      </x:c>
      <x:c r="G105" s="12" t="str">
        <x:v>постоянный</x:v>
      </x:c>
      <x:c r="H105" s="14" t="n">
        <x:v>64</x:v>
      </x:c>
      <x:c r="I105" s="14" t="n">
        <x:v>64</x:v>
      </x:c>
      <x:c r="J105" s="14" t="n">
        <x:v>72</x:v>
      </x:c>
      <x:c r="K105" s="14" t="n">
        <x:v>51</x:v>
      </x:c>
      <x:c r="L105" s="14" t="n">
        <x:v>45</x:v>
      </x:c>
      <x:c r="M105" s="14" t="n">
        <x:v>65</x:v>
      </x:c>
      <x:c r="N105" s="14" t="n">
        <x:f>ROUND(AVERAGE(H105:M105),0)</x:f>
        <x:v>60</x:v>
      </x:c>
      <x:c r="O105" s="12" t="str">
        <x:f>IF(N105&gt;=80,"Высокий",IF(N105&gt;=60,"Средний","Низкий"))</x:f>
        <x:v>Средний</x:v>
      </x:c>
      <x:c r="P105" s="12" t="str">
        <x:f>IF(N105&gt;=80,"Низкий",IF(N105&gt;=60,"Средний","Высокий"))</x:f>
        <x:v>Средний</x:v>
      </x:c>
      <x:c r="Q105" s="12" t="str">
        <x:f>IF(MIN(H105:M105)=H105,"Основы цифровой грамотности",IF(MIN(H105:M105)=I105,"Менеджер паролей и 2FA",IF(MIN(H105:M105)=J105,"Персональные данные без утечек",IF(MIN(H105:M105)=K105,"Антифишинг: распознавание угроз",IF(MIN(H105:M105)=L105,"Безопасные платежи и госуслуги","Безопасность в соцсетях")))))</x:f>
        <x:v>Безопасные платежи и госуслуги</x:v>
      </x:c>
      <x:c r="R105" s="12" t="str">
        <x:v>2026-01</x:v>
      </x:c>
      <x:c r="S105" s="12" t="str">
        <x:v>онлайн-анкета</x:v>
      </x:c>
    </x:row>
    <x:row r="106">
      <x:c r="A106" s="12" t="n">
        <x:v>105</x:v>
      </x:c>
      <x:c r="B106" s="12" t="str">
        <x:v>Новосибирская область</x:v>
      </x:c>
      <x:c r="C106" s="12" t="str">
        <x:v>малый город</x:v>
      </x:c>
      <x:c r="D106" s="12" t="str">
        <x:v>25-34</x:v>
      </x:c>
      <x:c r="E106" s="12" t="str">
        <x:v>Женский</x:v>
      </x:c>
      <x:c r="F106" s="12" t="str">
        <x:v>высшее</x:v>
      </x:c>
      <x:c r="G106" s="12" t="str">
        <x:v>постоянный</x:v>
      </x:c>
      <x:c r="H106" s="14" t="n">
        <x:v>94</x:v>
      </x:c>
      <x:c r="I106" s="14" t="n">
        <x:v>86</x:v>
      </x:c>
      <x:c r="J106" s="14" t="n">
        <x:v>72</x:v>
      </x:c>
      <x:c r="K106" s="14" t="n">
        <x:v>69</x:v>
      </x:c>
      <x:c r="L106" s="14" t="n">
        <x:v>67</x:v>
      </x:c>
      <x:c r="M106" s="14" t="n">
        <x:v>70</x:v>
      </x:c>
      <x:c r="N106" s="14" t="n">
        <x:f>ROUND(AVERAGE(H106:M106),0)</x:f>
        <x:v>76</x:v>
      </x:c>
      <x:c r="O106" s="12" t="str">
        <x:f>IF(N106&gt;=80,"Высокий",IF(N106&gt;=60,"Средний","Низкий"))</x:f>
        <x:v>Средний</x:v>
      </x:c>
      <x:c r="P106" s="12" t="str">
        <x:f>IF(N106&gt;=80,"Низкий",IF(N106&gt;=60,"Средний","Высокий"))</x:f>
        <x:v>Средний</x:v>
      </x:c>
      <x:c r="Q106" s="12" t="str">
        <x:f>IF(MIN(H106:M106)=H106,"Основы цифровой грамотности",IF(MIN(H106:M106)=I106,"Менеджер паролей и 2FA",IF(MIN(H106:M106)=J106,"Персональные данные без утечек",IF(MIN(H106:M106)=K106,"Антифишинг: распознавание угроз",IF(MIN(H106:M106)=L106,"Безопасные платежи и госуслуги","Безопасность в соцсетях")))))</x:f>
        <x:v>Безопасные платежи и госуслуги</x:v>
      </x:c>
      <x:c r="R106" s="12" t="str">
        <x:v>2026-04</x:v>
      </x:c>
      <x:c r="S106" s="12" t="str">
        <x:v>онлайн-анкета</x:v>
      </x:c>
    </x:row>
    <x:row r="107">
      <x:c r="A107" s="12" t="n">
        <x:v>106</x:v>
      </x:c>
      <x:c r="B107" s="12" t="str">
        <x:v>Пермский край</x:v>
      </x:c>
      <x:c r="C107" s="12" t="str">
        <x:v>малый город</x:v>
      </x:c>
      <x:c r="D107" s="12" t="str">
        <x:v>25-34</x:v>
      </x:c>
      <x:c r="E107" s="12" t="str">
        <x:v>Женский</x:v>
      </x:c>
      <x:c r="F107" s="12" t="str">
        <x:v>обучающийся</x:v>
      </x:c>
      <x:c r="G107" s="12" t="str">
        <x:v>постоянный</x:v>
      </x:c>
      <x:c r="H107" s="14" t="n">
        <x:v>71</x:v>
      </x:c>
      <x:c r="I107" s="14" t="n">
        <x:v>61</x:v>
      </x:c>
      <x:c r="J107" s="14" t="n">
        <x:v>57</x:v>
      </x:c>
      <x:c r="K107" s="14" t="n">
        <x:v>89</x:v>
      </x:c>
      <x:c r="L107" s="14" t="n">
        <x:v>57</x:v>
      </x:c>
      <x:c r="M107" s="14" t="n">
        <x:v>66</x:v>
      </x:c>
      <x:c r="N107" s="14" t="n">
        <x:f>ROUND(AVERAGE(H107:M107),0)</x:f>
        <x:v>67</x:v>
      </x:c>
      <x:c r="O107" s="12" t="str">
        <x:f>IF(N107&gt;=80,"Высокий",IF(N107&gt;=60,"Средний","Низкий"))</x:f>
        <x:v>Средний</x:v>
      </x:c>
      <x:c r="P107" s="12" t="str">
        <x:f>IF(N107&gt;=80,"Низкий",IF(N107&gt;=60,"Средний","Высокий"))</x:f>
        <x:v>Средний</x:v>
      </x:c>
      <x:c r="Q107" s="12" t="str">
        <x:f>IF(MIN(H107:M107)=H107,"Основы цифровой грамотности",IF(MIN(H107:M107)=I107,"Менеджер паролей и 2FA",IF(MIN(H107:M107)=J107,"Персональные данные без утечек",IF(MIN(H107:M107)=K107,"Антифишинг: распознавание угроз",IF(MIN(H107:M107)=L107,"Безопасные платежи и госуслуги","Безопасность в соцсетях")))))</x:f>
        <x:v>Персональные данные без утечек</x:v>
      </x:c>
      <x:c r="R107" s="12" t="str">
        <x:v>2026-04</x:v>
      </x:c>
      <x:c r="S107" s="12" t="str">
        <x:v>онлайн-анкета</x:v>
      </x:c>
    </x:row>
    <x:row r="108">
      <x:c r="A108" s="12" t="n">
        <x:v>107</x:v>
      </x:c>
      <x:c r="B108" s="12" t="str">
        <x:v>Нижегородская область</x:v>
      </x:c>
      <x:c r="C108" s="12" t="str">
        <x:v>крупный город</x:v>
      </x:c>
      <x:c r="D108" s="12" t="str">
        <x:v>25-34</x:v>
      </x:c>
      <x:c r="E108" s="12" t="str">
        <x:v>Мужской</x:v>
      </x:c>
      <x:c r="F108" s="12" t="str">
        <x:v>среднее специальное</x:v>
      </x:c>
      <x:c r="G108" s="12" t="str">
        <x:v>постоянный</x:v>
      </x:c>
      <x:c r="H108" s="14" t="n">
        <x:v>80</x:v>
      </x:c>
      <x:c r="I108" s="14" t="n">
        <x:v>80</x:v>
      </x:c>
      <x:c r="J108" s="14" t="n">
        <x:v>79</x:v>
      </x:c>
      <x:c r="K108" s="14" t="n">
        <x:v>90</x:v>
      </x:c>
      <x:c r="L108" s="14" t="n">
        <x:v>90</x:v>
      </x:c>
      <x:c r="M108" s="14" t="n">
        <x:v>84</x:v>
      </x:c>
      <x:c r="N108" s="14" t="n">
        <x:f>ROUND(AVERAGE(H108:M108),0)</x:f>
        <x:v>84</x:v>
      </x:c>
      <x:c r="O108" s="12" t="str">
        <x:f>IF(N108&gt;=80,"Высокий",IF(N108&gt;=60,"Средний","Низкий"))</x:f>
        <x:v>Высокий</x:v>
      </x:c>
      <x:c r="P108" s="12" t="str">
        <x:f>IF(N108&gt;=80,"Низкий",IF(N108&gt;=60,"Средний","Высокий"))</x:f>
        <x:v>Низкий</x:v>
      </x:c>
      <x:c r="Q108" s="12" t="str">
        <x:f>IF(MIN(H108:M108)=H108,"Основы цифровой грамотности",IF(MIN(H108:M108)=I108,"Менеджер паролей и 2FA",IF(MIN(H108:M108)=J108,"Персональные данные без утечек",IF(MIN(H108:M108)=K108,"Антифишинг: распознавание угроз",IF(MIN(H108:M108)=L108,"Безопасные платежи и госуслуги","Безопасность в соцсетях")))))</x:f>
        <x:v>Персональные данные без утечек</x:v>
      </x:c>
      <x:c r="R108" s="12" t="str">
        <x:v>2026-01</x:v>
      </x:c>
      <x:c r="S108" s="12" t="str">
        <x:v>школьный модуль</x:v>
      </x:c>
    </x:row>
    <x:row r="109">
      <x:c r="A109" s="12" t="n">
        <x:v>108</x:v>
      </x:c>
      <x:c r="B109" s="12" t="str">
        <x:v>Ростовская область</x:v>
      </x:c>
      <x:c r="C109" s="12" t="str">
        <x:v>малый город</x:v>
      </x:c>
      <x:c r="D109" s="12" t="str">
        <x:v>25-34</x:v>
      </x:c>
      <x:c r="E109" s="12" t="str">
        <x:v>Мужской</x:v>
      </x:c>
      <x:c r="F109" s="12" t="str">
        <x:v>среднее</x:v>
      </x:c>
      <x:c r="G109" s="12" t="str">
        <x:v>нестабильный</x:v>
      </x:c>
      <x:c r="H109" s="14" t="n">
        <x:v>61</x:v>
      </x:c>
      <x:c r="I109" s="14" t="n">
        <x:v>41</x:v>
      </x:c>
      <x:c r="J109" s="14" t="n">
        <x:v>62</x:v>
      </x:c>
      <x:c r="K109" s="14" t="n">
        <x:v>66</x:v>
      </x:c>
      <x:c r="L109" s="14" t="n">
        <x:v>80</x:v>
      </x:c>
      <x:c r="M109" s="14" t="n">
        <x:v>78</x:v>
      </x:c>
      <x:c r="N109" s="14" t="n">
        <x:f>ROUND(AVERAGE(H109:M109),0)</x:f>
        <x:v>65</x:v>
      </x:c>
      <x:c r="O109" s="12" t="str">
        <x:f>IF(N109&gt;=80,"Высокий",IF(N109&gt;=60,"Средний","Низкий"))</x:f>
        <x:v>Средний</x:v>
      </x:c>
      <x:c r="P109" s="12" t="str">
        <x:f>IF(N109&gt;=80,"Низкий",IF(N109&gt;=60,"Средний","Высокий"))</x:f>
        <x:v>Средний</x:v>
      </x:c>
      <x:c r="Q109" s="12" t="str">
        <x:f>IF(MIN(H109:M109)=H109,"Основы цифровой грамотности",IF(MIN(H109:M109)=I109,"Менеджер паролей и 2FA",IF(MIN(H109:M109)=J109,"Персональные данные без утечек",IF(MIN(H109:M109)=K109,"Антифишинг: распознавание угроз",IF(MIN(H109:M109)=L109,"Безопасные платежи и госуслуги","Безопасность в соцсетях")))))</x:f>
        <x:v>Менеджер паролей и 2FA</x:v>
      </x:c>
      <x:c r="R109" s="12" t="str">
        <x:v>2026-03</x:v>
      </x:c>
      <x:c r="S109" s="12" t="str">
        <x:v>опрос в центре</x:v>
      </x:c>
    </x:row>
    <x:row r="110">
      <x:c r="A110" s="12" t="n">
        <x:v>109</x:v>
      </x:c>
      <x:c r="B110" s="12" t="str">
        <x:v>Москва</x:v>
      </x:c>
      <x:c r="C110" s="12" t="str">
        <x:v>село</x:v>
      </x:c>
      <x:c r="D110" s="12" t="str">
        <x:v>45-60</x:v>
      </x:c>
      <x:c r="E110" s="12" t="str">
        <x:v>Мужской</x:v>
      </x:c>
      <x:c r="F110" s="12" t="str">
        <x:v>высшее</x:v>
      </x:c>
      <x:c r="G110" s="12" t="str">
        <x:v>постоянный</x:v>
      </x:c>
      <x:c r="H110" s="14" t="n">
        <x:v>51</x:v>
      </x:c>
      <x:c r="I110" s="14" t="n">
        <x:v>59</x:v>
      </x:c>
      <x:c r="J110" s="14" t="n">
        <x:v>56</x:v>
      </x:c>
      <x:c r="K110" s="14" t="n">
        <x:v>38</x:v>
      </x:c>
      <x:c r="L110" s="14" t="n">
        <x:v>66</x:v>
      </x:c>
      <x:c r="M110" s="14" t="n">
        <x:v>52</x:v>
      </x:c>
      <x:c r="N110" s="14" t="n">
        <x:f>ROUND(AVERAGE(H110:M110),0)</x:f>
        <x:v>54</x:v>
      </x:c>
      <x:c r="O110" s="12" t="str">
        <x:f>IF(N110&gt;=80,"Высокий",IF(N110&gt;=60,"Средний","Низкий"))</x:f>
        <x:v>Низкий</x:v>
      </x:c>
      <x:c r="P110" s="12" t="str">
        <x:f>IF(N110&gt;=80,"Низкий",IF(N110&gt;=60,"Средний","Высокий"))</x:f>
        <x:v>Высокий</x:v>
      </x:c>
      <x:c r="Q110" s="12" t="str">
        <x:f>IF(MIN(H110:M110)=H110,"Основы цифровой грамотности",IF(MIN(H110:M110)=I110,"Менеджер паролей и 2FA",IF(MIN(H110:M110)=J110,"Персональные данные без утечек",IF(MIN(H110:M110)=K110,"Антифишинг: распознавание угроз",IF(MIN(H110:M110)=L110,"Безопасные платежи и госуслуги","Безопасность в соцсетях")))))</x:f>
        <x:v>Антифишинг: распознавание угроз</x:v>
      </x:c>
      <x:c r="R110" s="12" t="str">
        <x:v>2026-01</x:v>
      </x:c>
      <x:c r="S110" s="12" t="str">
        <x:v>школьный модуль</x:v>
      </x:c>
    </x:row>
    <x:row r="111">
      <x:c r="A111" s="12" t="n">
        <x:v>110</x:v>
      </x:c>
      <x:c r="B111" s="12" t="str">
        <x:v>Свердловская область</x:v>
      </x:c>
      <x:c r="C111" s="12" t="str">
        <x:v>крупный город</x:v>
      </x:c>
      <x:c r="D111" s="12" t="str">
        <x:v>18-24</x:v>
      </x:c>
      <x:c r="E111" s="12" t="str">
        <x:v>Мужской</x:v>
      </x:c>
      <x:c r="F111" s="12" t="str">
        <x:v>среднее</x:v>
      </x:c>
      <x:c r="G111" s="12" t="str">
        <x:v>нестабильный</x:v>
      </x:c>
      <x:c r="H111" s="14" t="n">
        <x:v>80</x:v>
      </x:c>
      <x:c r="I111" s="14" t="n">
        <x:v>55</x:v>
      </x:c>
      <x:c r="J111" s="14" t="n">
        <x:v>57</x:v>
      </x:c>
      <x:c r="K111" s="14" t="n">
        <x:v>92</x:v>
      </x:c>
      <x:c r="L111" s="14" t="n">
        <x:v>66</x:v>
      </x:c>
      <x:c r="M111" s="14" t="n">
        <x:v>75</x:v>
      </x:c>
      <x:c r="N111" s="14" t="n">
        <x:f>ROUND(AVERAGE(H111:M111),0)</x:f>
        <x:v>71</x:v>
      </x:c>
      <x:c r="O111" s="12" t="str">
        <x:f>IF(N111&gt;=80,"Высокий",IF(N111&gt;=60,"Средний","Низкий"))</x:f>
        <x:v>Средний</x:v>
      </x:c>
      <x:c r="P111" s="12" t="str">
        <x:f>IF(N111&gt;=80,"Низкий",IF(N111&gt;=60,"Средний","Высокий"))</x:f>
        <x:v>Средний</x:v>
      </x:c>
      <x:c r="Q111" s="12" t="str">
        <x:f>IF(MIN(H111:M111)=H111,"Основы цифровой грамотности",IF(MIN(H111:M111)=I111,"Менеджер паролей и 2FA",IF(MIN(H111:M111)=J111,"Персональные данные без утечек",IF(MIN(H111:M111)=K111,"Антифишинг: распознавание угроз",IF(MIN(H111:M111)=L111,"Безопасные платежи и госуслуги","Безопасность в соцсетях")))))</x:f>
        <x:v>Менеджер паролей и 2FA</x:v>
      </x:c>
      <x:c r="R111" s="12" t="str">
        <x:v>2026-06</x:v>
      </x:c>
      <x:c r="S111" s="12" t="str">
        <x:v>курс SafeNet</x:v>
      </x:c>
    </x:row>
    <x:row r="112">
      <x:c r="A112" s="12" t="n">
        <x:v>111</x:v>
      </x:c>
      <x:c r="B112" s="12" t="str">
        <x:v>Санкт-Петербург</x:v>
      </x:c>
      <x:c r="C112" s="12" t="str">
        <x:v>село</x:v>
      </x:c>
      <x:c r="D112" s="12" t="str">
        <x:v>25-34</x:v>
      </x:c>
      <x:c r="E112" s="12" t="str">
        <x:v>Женский</x:v>
      </x:c>
      <x:c r="F112" s="12" t="str">
        <x:v>обучающийся</x:v>
      </x:c>
      <x:c r="G112" s="12" t="str">
        <x:v>постоянный</x:v>
      </x:c>
      <x:c r="H112" s="14" t="n">
        <x:v>70</x:v>
      </x:c>
      <x:c r="I112" s="14" t="n">
        <x:v>70</x:v>
      </x:c>
      <x:c r="J112" s="14" t="n">
        <x:v>63</x:v>
      </x:c>
      <x:c r="K112" s="14" t="n">
        <x:v>71</x:v>
      </x:c>
      <x:c r="L112" s="14" t="n">
        <x:v>53</x:v>
      </x:c>
      <x:c r="M112" s="14" t="n">
        <x:v>70</x:v>
      </x:c>
      <x:c r="N112" s="14" t="n">
        <x:f>ROUND(AVERAGE(H112:M112),0)</x:f>
        <x:v>66</x:v>
      </x:c>
      <x:c r="O112" s="12" t="str">
        <x:f>IF(N112&gt;=80,"Высокий",IF(N112&gt;=60,"Средний","Низкий"))</x:f>
        <x:v>Средний</x:v>
      </x:c>
      <x:c r="P112" s="12" t="str">
        <x:f>IF(N112&gt;=80,"Низкий",IF(N112&gt;=60,"Средний","Высокий"))</x:f>
        <x:v>Средний</x:v>
      </x:c>
      <x:c r="Q112" s="12" t="str">
        <x:f>IF(MIN(H112:M112)=H112,"Основы цифровой грамотности",IF(MIN(H112:M112)=I112,"Менеджер паролей и 2FA",IF(MIN(H112:M112)=J112,"Персональные данные без утечек",IF(MIN(H112:M112)=K112,"Антифишинг: распознавание угроз",IF(MIN(H112:M112)=L112,"Безопасные платежи и госуслуги","Безопасность в соцсетях")))))</x:f>
        <x:v>Безопасные платежи и госуслуги</x:v>
      </x:c>
      <x:c r="R112" s="12" t="str">
        <x:v>2026-03</x:v>
      </x:c>
      <x:c r="S112" s="12" t="str">
        <x:v>курс SafeNet</x:v>
      </x:c>
    </x:row>
    <x:row r="113">
      <x:c r="A113" s="12" t="n">
        <x:v>112</x:v>
      </x:c>
      <x:c r="B113" s="12" t="str">
        <x:v>Москва</x:v>
      </x:c>
      <x:c r="C113" s="12" t="str">
        <x:v>село</x:v>
      </x:c>
      <x:c r="D113" s="12" t="str">
        <x:v>35-44</x:v>
      </x:c>
      <x:c r="E113" s="12" t="str">
        <x:v>Женский</x:v>
      </x:c>
      <x:c r="F113" s="12" t="str">
        <x:v>среднее</x:v>
      </x:c>
      <x:c r="G113" s="12" t="str">
        <x:v>постоянный</x:v>
      </x:c>
      <x:c r="H113" s="14" t="n">
        <x:v>50</x:v>
      </x:c>
      <x:c r="I113" s="14" t="n">
        <x:v>64</x:v>
      </x:c>
      <x:c r="J113" s="14" t="n">
        <x:v>60</x:v>
      </x:c>
      <x:c r="K113" s="14" t="n">
        <x:v>53</x:v>
      </x:c>
      <x:c r="L113" s="14" t="n">
        <x:v>55</x:v>
      </x:c>
      <x:c r="M113" s="14" t="n">
        <x:v>48</x:v>
      </x:c>
      <x:c r="N113" s="14" t="n">
        <x:f>ROUND(AVERAGE(H113:M113),0)</x:f>
        <x:v>55</x:v>
      </x:c>
      <x:c r="O113" s="12" t="str">
        <x:f>IF(N113&gt;=80,"Высокий",IF(N113&gt;=60,"Средний","Низкий"))</x:f>
        <x:v>Низкий</x:v>
      </x:c>
      <x:c r="P113" s="12" t="str">
        <x:f>IF(N113&gt;=80,"Низкий",IF(N113&gt;=60,"Средний","Высокий"))</x:f>
        <x:v>Высокий</x:v>
      </x:c>
      <x:c r="Q113" s="12" t="str">
        <x:f>IF(MIN(H113:M113)=H113,"Основы цифровой грамотности",IF(MIN(H113:M113)=I113,"Менеджер паролей и 2FA",IF(MIN(H113:M113)=J113,"Персональные данные без утечек",IF(MIN(H113:M113)=K113,"Антифишинг: распознавание угроз",IF(MIN(H113:M113)=L113,"Безопасные платежи и госуслуги","Безопасность в соцсетях")))))</x:f>
        <x:v>Безопасность в соцсетях</x:v>
      </x:c>
      <x:c r="R113" s="12" t="str">
        <x:v>2026-02</x:v>
      </x:c>
      <x:c r="S113" s="12" t="str">
        <x:v>курс SafeNet</x:v>
      </x:c>
    </x:row>
    <x:row r="114">
      <x:c r="A114" s="12" t="n">
        <x:v>113</x:v>
      </x:c>
      <x:c r="B114" s="12" t="str">
        <x:v>Москва</x:v>
      </x:c>
      <x:c r="C114" s="12" t="str">
        <x:v>крупный город</x:v>
      </x:c>
      <x:c r="D114" s="12" t="str">
        <x:v>18-24</x:v>
      </x:c>
      <x:c r="E114" s="12" t="str">
        <x:v>Мужской</x:v>
      </x:c>
      <x:c r="F114" s="12" t="str">
        <x:v>среднее</x:v>
      </x:c>
      <x:c r="G114" s="12" t="str">
        <x:v>постоянный</x:v>
      </x:c>
      <x:c r="H114" s="14" t="n">
        <x:v>70</x:v>
      </x:c>
      <x:c r="I114" s="14" t="n">
        <x:v>100</x:v>
      </x:c>
      <x:c r="J114" s="14" t="n">
        <x:v>88</x:v>
      </x:c>
      <x:c r="K114" s="14" t="n">
        <x:v>80</x:v>
      </x:c>
      <x:c r="L114" s="14" t="n">
        <x:v>74</x:v>
      </x:c>
      <x:c r="M114" s="14" t="n">
        <x:v>83</x:v>
      </x:c>
      <x:c r="N114" s="14" t="n">
        <x:f>ROUND(AVERAGE(H114:M114),0)</x:f>
        <x:v>83</x:v>
      </x:c>
      <x:c r="O114" s="12" t="str">
        <x:f>IF(N114&gt;=80,"Высокий",IF(N114&gt;=60,"Средний","Низкий"))</x:f>
        <x:v>Высокий</x:v>
      </x:c>
      <x:c r="P114" s="12" t="str">
        <x:f>IF(N114&gt;=80,"Низкий",IF(N114&gt;=60,"Средний","Высокий"))</x:f>
        <x:v>Низкий</x:v>
      </x:c>
      <x:c r="Q114" s="12" t="str">
        <x:f>IF(MIN(H114:M114)=H114,"Основы цифровой грамотности",IF(MIN(H114:M114)=I114,"Менеджер паролей и 2FA",IF(MIN(H114:M114)=J114,"Персональные данные без утечек",IF(MIN(H114:M114)=K114,"Антифишинг: распознавание угроз",IF(MIN(H114:M114)=L114,"Безопасные платежи и госуслуги","Безопасность в соцсетях")))))</x:f>
        <x:v>Основы цифровой грамотности</x:v>
      </x:c>
      <x:c r="R114" s="12" t="str">
        <x:v>2026-05</x:v>
      </x:c>
      <x:c r="S114" s="12" t="str">
        <x:v>опрос в центре</x:v>
      </x:c>
    </x:row>
    <x:row r="115">
      <x:c r="A115" s="12" t="n">
        <x:v>114</x:v>
      </x:c>
      <x:c r="B115" s="12" t="str">
        <x:v>Ростовская область</x:v>
      </x:c>
      <x:c r="C115" s="12" t="str">
        <x:v>крупный город</x:v>
      </x:c>
      <x:c r="D115" s="12" t="str">
        <x:v>25-34</x:v>
      </x:c>
      <x:c r="E115" s="12" t="str">
        <x:v>Мужской</x:v>
      </x:c>
      <x:c r="F115" s="12" t="str">
        <x:v>обучающийся</x:v>
      </x:c>
      <x:c r="G115" s="12" t="str">
        <x:v>постоянный</x:v>
      </x:c>
      <x:c r="H115" s="14" t="n">
        <x:v>84</x:v>
      </x:c>
      <x:c r="I115" s="14" t="n">
        <x:v>76</x:v>
      </x:c>
      <x:c r="J115" s="14" t="n">
        <x:v>83</x:v>
      </x:c>
      <x:c r="K115" s="14" t="n">
        <x:v>86</x:v>
      </x:c>
      <x:c r="L115" s="14" t="n">
        <x:v>83</x:v>
      </x:c>
      <x:c r="M115" s="14" t="n">
        <x:v>73</x:v>
      </x:c>
      <x:c r="N115" s="14" t="n">
        <x:f>ROUND(AVERAGE(H115:M115),0)</x:f>
        <x:v>81</x:v>
      </x:c>
      <x:c r="O115" s="12" t="str">
        <x:f>IF(N115&gt;=80,"Высокий",IF(N115&gt;=60,"Средний","Низкий"))</x:f>
        <x:v>Высокий</x:v>
      </x:c>
      <x:c r="P115" s="12" t="str">
        <x:f>IF(N115&gt;=80,"Низкий",IF(N115&gt;=60,"Средний","Высокий"))</x:f>
        <x:v>Низкий</x:v>
      </x:c>
      <x:c r="Q115" s="12" t="str">
        <x:f>IF(MIN(H115:M115)=H115,"Основы цифровой грамотности",IF(MIN(H115:M115)=I115,"Менеджер паролей и 2FA",IF(MIN(H115:M115)=J115,"Персональные данные без утечек",IF(MIN(H115:M115)=K115,"Антифишинг: распознавание угроз",IF(MIN(H115:M115)=L115,"Безопасные платежи и госуслуги","Безопасность в соцсетях")))))</x:f>
        <x:v>Безопасность в соцсетях</x:v>
      </x:c>
      <x:c r="R115" s="12" t="str">
        <x:v>2026-02</x:v>
      </x:c>
      <x:c r="S115" s="12" t="str">
        <x:v>школьный модуль</x:v>
      </x:c>
    </x:row>
    <x:row r="116">
      <x:c r="A116" s="12" t="n">
        <x:v>115</x:v>
      </x:c>
      <x:c r="B116" s="12" t="str">
        <x:v>Приморский край</x:v>
      </x:c>
      <x:c r="C116" s="12" t="str">
        <x:v>крупный город</x:v>
      </x:c>
      <x:c r="D116" s="12" t="str">
        <x:v>45-60</x:v>
      </x:c>
      <x:c r="E116" s="12" t="str">
        <x:v>Мужской</x:v>
      </x:c>
      <x:c r="F116" s="12" t="str">
        <x:v>высшее</x:v>
      </x:c>
      <x:c r="G116" s="12" t="str">
        <x:v>постоянный</x:v>
      </x:c>
      <x:c r="H116" s="14" t="n">
        <x:v>73</x:v>
      </x:c>
      <x:c r="I116" s="14" t="n">
        <x:v>52</x:v>
      </x:c>
      <x:c r="J116" s="14" t="n">
        <x:v>71</x:v>
      </x:c>
      <x:c r="K116" s="14" t="n">
        <x:v>53</x:v>
      </x:c>
      <x:c r="L116" s="14" t="n">
        <x:v>76</x:v>
      </x:c>
      <x:c r="M116" s="14" t="n">
        <x:v>68</x:v>
      </x:c>
      <x:c r="N116" s="14" t="n">
        <x:f>ROUND(AVERAGE(H116:M116),0)</x:f>
        <x:v>66</x:v>
      </x:c>
      <x:c r="O116" s="12" t="str">
        <x:f>IF(N116&gt;=80,"Высокий",IF(N116&gt;=60,"Средний","Низкий"))</x:f>
        <x:v>Средний</x:v>
      </x:c>
      <x:c r="P116" s="12" t="str">
        <x:f>IF(N116&gt;=80,"Низкий",IF(N116&gt;=60,"Средний","Высокий"))</x:f>
        <x:v>Средний</x:v>
      </x:c>
      <x:c r="Q116" s="12" t="str">
        <x:f>IF(MIN(H116:M116)=H116,"Основы цифровой грамотности",IF(MIN(H116:M116)=I116,"Менеджер паролей и 2FA",IF(MIN(H116:M116)=J116,"Персональные данные без утечек",IF(MIN(H116:M116)=K116,"Антифишинг: распознавание угроз",IF(MIN(H116:M116)=L116,"Безопасные платежи и госуслуги","Безопасность в соцсетях")))))</x:f>
        <x:v>Менеджер паролей и 2FA</x:v>
      </x:c>
      <x:c r="R116" s="12" t="str">
        <x:v>2026-06</x:v>
      </x:c>
      <x:c r="S116" s="12" t="str">
        <x:v>онлайн-анкета</x:v>
      </x:c>
    </x:row>
    <x:row r="117">
      <x:c r="A117" s="12" t="n">
        <x:v>116</x:v>
      </x:c>
      <x:c r="B117" s="12" t="str">
        <x:v>Ростовская область</x:v>
      </x:c>
      <x:c r="C117" s="12" t="str">
        <x:v>село</x:v>
      </x:c>
      <x:c r="D117" s="12" t="str">
        <x:v>25-34</x:v>
      </x:c>
      <x:c r="E117" s="12" t="str">
        <x:v>Женский</x:v>
      </x:c>
      <x:c r="F117" s="12" t="str">
        <x:v>среднее специальное</x:v>
      </x:c>
      <x:c r="G117" s="12" t="str">
        <x:v>нестабильный</x:v>
      </x:c>
      <x:c r="H117" s="14" t="n">
        <x:v>61</x:v>
      </x:c>
      <x:c r="I117" s="14" t="n">
        <x:v>39</x:v>
      </x:c>
      <x:c r="J117" s="14" t="n">
        <x:v>50</x:v>
      </x:c>
      <x:c r="K117" s="14" t="n">
        <x:v>45</x:v>
      </x:c>
      <x:c r="L117" s="14" t="n">
        <x:v>58</x:v>
      </x:c>
      <x:c r="M117" s="14" t="n">
        <x:v>60</x:v>
      </x:c>
      <x:c r="N117" s="14" t="n">
        <x:f>ROUND(AVERAGE(H117:M117),0)</x:f>
        <x:v>52</x:v>
      </x:c>
      <x:c r="O117" s="12" t="str">
        <x:f>IF(N117&gt;=80,"Высокий",IF(N117&gt;=60,"Средний","Низкий"))</x:f>
        <x:v>Низкий</x:v>
      </x:c>
      <x:c r="P117" s="12" t="str">
        <x:f>IF(N117&gt;=80,"Низкий",IF(N117&gt;=60,"Средний","Высокий"))</x:f>
        <x:v>Высокий</x:v>
      </x:c>
      <x:c r="Q117" s="12" t="str">
        <x:f>IF(MIN(H117:M117)=H117,"Основы цифровой грамотности",IF(MIN(H117:M117)=I117,"Менеджер паролей и 2FA",IF(MIN(H117:M117)=J117,"Персональные данные без утечек",IF(MIN(H117:M117)=K117,"Антифишинг: распознавание угроз",IF(MIN(H117:M117)=L117,"Безопасные платежи и госуслуги","Безопасность в соцсетях")))))</x:f>
        <x:v>Менеджер паролей и 2FA</x:v>
      </x:c>
      <x:c r="R117" s="12" t="str">
        <x:v>2026-02</x:v>
      </x:c>
      <x:c r="S117" s="12" t="str">
        <x:v>курс SafeNet</x:v>
      </x:c>
    </x:row>
    <x:row r="118">
      <x:c r="A118" s="12" t="n">
        <x:v>117</x:v>
      </x:c>
      <x:c r="B118" s="12" t="str">
        <x:v>Москва</x:v>
      </x:c>
      <x:c r="C118" s="12" t="str">
        <x:v>малый город</x:v>
      </x:c>
      <x:c r="D118" s="12" t="str">
        <x:v>25-34</x:v>
      </x:c>
      <x:c r="E118" s="12" t="str">
        <x:v>Мужской</x:v>
      </x:c>
      <x:c r="F118" s="12" t="str">
        <x:v>обучающийся</x:v>
      </x:c>
      <x:c r="G118" s="12" t="str">
        <x:v>постоянный</x:v>
      </x:c>
      <x:c r="H118" s="14" t="n">
        <x:v>82</x:v>
      </x:c>
      <x:c r="I118" s="14" t="n">
        <x:v>71</x:v>
      </x:c>
      <x:c r="J118" s="14" t="n">
        <x:v>76</x:v>
      </x:c>
      <x:c r="K118" s="14" t="n">
        <x:v>68</x:v>
      </x:c>
      <x:c r="L118" s="14" t="n">
        <x:v>61</x:v>
      </x:c>
      <x:c r="M118" s="14" t="n">
        <x:v>80</x:v>
      </x:c>
      <x:c r="N118" s="14" t="n">
        <x:f>ROUND(AVERAGE(H118:M118),0)</x:f>
        <x:v>73</x:v>
      </x:c>
      <x:c r="O118" s="12" t="str">
        <x:f>IF(N118&gt;=80,"Высокий",IF(N118&gt;=60,"Средний","Низкий"))</x:f>
        <x:v>Средний</x:v>
      </x:c>
      <x:c r="P118" s="12" t="str">
        <x:f>IF(N118&gt;=80,"Низкий",IF(N118&gt;=60,"Средний","Высокий"))</x:f>
        <x:v>Средний</x:v>
      </x:c>
      <x:c r="Q118" s="12" t="str">
        <x:f>IF(MIN(H118:M118)=H118,"Основы цифровой грамотности",IF(MIN(H118:M118)=I118,"Менеджер паролей и 2FA",IF(MIN(H118:M118)=J118,"Персональные данные без утечек",IF(MIN(H118:M118)=K118,"Антифишинг: распознавание угроз",IF(MIN(H118:M118)=L118,"Безопасные платежи и госуслуги","Безопасность в соцсетях")))))</x:f>
        <x:v>Безопасные платежи и госуслуги</x:v>
      </x:c>
      <x:c r="R118" s="12" t="str">
        <x:v>2026-04</x:v>
      </x:c>
      <x:c r="S118" s="12" t="str">
        <x:v>онлайн-анкета</x:v>
      </x:c>
    </x:row>
    <x:row r="119">
      <x:c r="A119" s="12" t="n">
        <x:v>118</x:v>
      </x:c>
      <x:c r="B119" s="12" t="str">
        <x:v>Татарстан</x:v>
      </x:c>
      <x:c r="C119" s="12" t="str">
        <x:v>малый город</x:v>
      </x:c>
      <x:c r="D119" s="12" t="str">
        <x:v>60+</x:v>
      </x:c>
      <x:c r="E119" s="12" t="str">
        <x:v>Женский</x:v>
      </x:c>
      <x:c r="F119" s="12" t="str">
        <x:v>обучающийся</x:v>
      </x:c>
      <x:c r="G119" s="12" t="str">
        <x:v>постоянный</x:v>
      </x:c>
      <x:c r="H119" s="14" t="n">
        <x:v>46</x:v>
      </x:c>
      <x:c r="I119" s="14" t="n">
        <x:v>37</x:v>
      </x:c>
      <x:c r="J119" s="14" t="n">
        <x:v>59</x:v>
      </x:c>
      <x:c r="K119" s="14" t="n">
        <x:v>31</x:v>
      </x:c>
      <x:c r="L119" s="14" t="n">
        <x:v>43</x:v>
      </x:c>
      <x:c r="M119" s="14" t="n">
        <x:v>39</x:v>
      </x:c>
      <x:c r="N119" s="14" t="n">
        <x:f>ROUND(AVERAGE(H119:M119),0)</x:f>
        <x:v>43</x:v>
      </x:c>
      <x:c r="O119" s="12" t="str">
        <x:f>IF(N119&gt;=80,"Высокий",IF(N119&gt;=60,"Средний","Низкий"))</x:f>
        <x:v>Низкий</x:v>
      </x:c>
      <x:c r="P119" s="12" t="str">
        <x:f>IF(N119&gt;=80,"Низкий",IF(N119&gt;=60,"Средний","Высокий"))</x:f>
        <x:v>Высокий</x:v>
      </x:c>
      <x:c r="Q119" s="12" t="str">
        <x:f>IF(MIN(H119:M119)=H119,"Основы цифровой грамотности",IF(MIN(H119:M119)=I119,"Менеджер паролей и 2FA",IF(MIN(H119:M119)=J119,"Персональные данные без утечек",IF(MIN(H119:M119)=K119,"Антифишинг: распознавание угроз",IF(MIN(H119:M119)=L119,"Безопасные платежи и госуслуги","Безопасность в соцсетях")))))</x:f>
        <x:v>Антифишинг: распознавание угроз</x:v>
      </x:c>
      <x:c r="R119" s="12" t="str">
        <x:v>2026-05</x:v>
      </x:c>
      <x:c r="S119" s="12" t="str">
        <x:v>онлайн-анкета</x:v>
      </x:c>
    </x:row>
    <x:row r="120">
      <x:c r="A120" s="12" t="n">
        <x:v>119</x:v>
      </x:c>
      <x:c r="B120" s="12" t="str">
        <x:v>Санкт-Петербург</x:v>
      </x:c>
      <x:c r="C120" s="12" t="str">
        <x:v>крупный город</x:v>
      </x:c>
      <x:c r="D120" s="12" t="str">
        <x:v>25-34</x:v>
      </x:c>
      <x:c r="E120" s="12" t="str">
        <x:v>Женский</x:v>
      </x:c>
      <x:c r="F120" s="12" t="str">
        <x:v>высшее</x:v>
      </x:c>
      <x:c r="G120" s="12" t="str">
        <x:v>постоянный</x:v>
      </x:c>
      <x:c r="H120" s="14" t="n">
        <x:v>89</x:v>
      </x:c>
      <x:c r="I120" s="14" t="n">
        <x:v>74</x:v>
      </x:c>
      <x:c r="J120" s="14" t="n">
        <x:v>89</x:v>
      </x:c>
      <x:c r="K120" s="14" t="n">
        <x:v>71</x:v>
      </x:c>
      <x:c r="L120" s="14" t="n">
        <x:v>78</x:v>
      </x:c>
      <x:c r="M120" s="14" t="n">
        <x:v>80</x:v>
      </x:c>
      <x:c r="N120" s="14" t="n">
        <x:f>ROUND(AVERAGE(H120:M120),0)</x:f>
        <x:v>80</x:v>
      </x:c>
      <x:c r="O120" s="12" t="str">
        <x:f>IF(N120&gt;=80,"Высокий",IF(N120&gt;=60,"Средний","Низкий"))</x:f>
        <x:v>Высокий</x:v>
      </x:c>
      <x:c r="P120" s="12" t="str">
        <x:f>IF(N120&gt;=80,"Низкий",IF(N120&gt;=60,"Средний","Высокий"))</x:f>
        <x:v>Низкий</x:v>
      </x:c>
      <x:c r="Q120" s="12" t="str">
        <x:f>IF(MIN(H120:M120)=H120,"Основы цифровой грамотности",IF(MIN(H120:M120)=I120,"Менеджер паролей и 2FA",IF(MIN(H120:M120)=J120,"Персональные данные без утечек",IF(MIN(H120:M120)=K120,"Антифишинг: распознавание угроз",IF(MIN(H120:M120)=L120,"Безопасные платежи и госуслуги","Безопасность в соцсетях")))))</x:f>
        <x:v>Антифишинг: распознавание угроз</x:v>
      </x:c>
      <x:c r="R120" s="12" t="str">
        <x:v>2026-02</x:v>
      </x:c>
      <x:c r="S120" s="12" t="str">
        <x:v>школьный модуль</x:v>
      </x:c>
    </x:row>
    <x:row r="121">
      <x:c r="A121" s="12" t="n">
        <x:v>120</x:v>
      </x:c>
      <x:c r="B121" s="12" t="str">
        <x:v>Пермский край</x:v>
      </x:c>
      <x:c r="C121" s="12" t="str">
        <x:v>крупный город</x:v>
      </x:c>
      <x:c r="D121" s="12" t="str">
        <x:v>25-34</x:v>
      </x:c>
      <x:c r="E121" s="12" t="str">
        <x:v>Женский</x:v>
      </x:c>
      <x:c r="F121" s="12" t="str">
        <x:v>среднее</x:v>
      </x:c>
      <x:c r="G121" s="12" t="str">
        <x:v>постоянный</x:v>
      </x:c>
      <x:c r="H121" s="14" t="n">
        <x:v>87</x:v>
      </x:c>
      <x:c r="I121" s="14" t="n">
        <x:v>75</x:v>
      </x:c>
      <x:c r="J121" s="14" t="n">
        <x:v>69</x:v>
      </x:c>
      <x:c r="K121" s="14" t="n">
        <x:v>62</x:v>
      </x:c>
      <x:c r="L121" s="14" t="n">
        <x:v>64</x:v>
      </x:c>
      <x:c r="M121" s="14" t="n">
        <x:v>64</x:v>
      </x:c>
      <x:c r="N121" s="14" t="n">
        <x:f>ROUND(AVERAGE(H121:M121),0)</x:f>
        <x:v>70</x:v>
      </x:c>
      <x:c r="O121" s="12" t="str">
        <x:f>IF(N121&gt;=80,"Высокий",IF(N121&gt;=60,"Средний","Низкий"))</x:f>
        <x:v>Средний</x:v>
      </x:c>
      <x:c r="P121" s="12" t="str">
        <x:f>IF(N121&gt;=80,"Низкий",IF(N121&gt;=60,"Средний","Высокий"))</x:f>
        <x:v>Средний</x:v>
      </x:c>
      <x:c r="Q121" s="12" t="str">
        <x:f>IF(MIN(H121:M121)=H121,"Основы цифровой грамотности",IF(MIN(H121:M121)=I121,"Менеджер паролей и 2FA",IF(MIN(H121:M121)=J121,"Персональные данные без утечек",IF(MIN(H121:M121)=K121,"Антифишинг: распознавание угроз",IF(MIN(H121:M121)=L121,"Безопасные платежи и госуслуги","Безопасность в соцсетях")))))</x:f>
        <x:v>Антифишинг: распознавание угроз</x:v>
      </x:c>
      <x:c r="R121" s="12" t="str">
        <x:v>2026-01</x:v>
      </x:c>
      <x:c r="S121" s="12" t="str">
        <x:v>онлайн-анкета</x:v>
      </x:c>
    </x:row>
    <x:row r="122">
      <x:c r="A122" s="12" t="n">
        <x:v>121</x:v>
      </x:c>
      <x:c r="B122" s="12" t="str">
        <x:v>Нижегородская область</x:v>
      </x:c>
      <x:c r="C122" s="12" t="str">
        <x:v>крупный город</x:v>
      </x:c>
      <x:c r="D122" s="12" t="str">
        <x:v>45-60</x:v>
      </x:c>
      <x:c r="E122" s="12" t="str">
        <x:v>Мужской</x:v>
      </x:c>
      <x:c r="F122" s="12" t="str">
        <x:v>обучающийся</x:v>
      </x:c>
      <x:c r="G122" s="12" t="str">
        <x:v>постоянный</x:v>
      </x:c>
      <x:c r="H122" s="14" t="n">
        <x:v>54</x:v>
      </x:c>
      <x:c r="I122" s="14" t="n">
        <x:v>55</x:v>
      </x:c>
      <x:c r="J122" s="14" t="n">
        <x:v>83</x:v>
      </x:c>
      <x:c r="K122" s="14" t="n">
        <x:v>63</x:v>
      </x:c>
      <x:c r="L122" s="14" t="n">
        <x:v>49</x:v>
      </x:c>
      <x:c r="M122" s="14" t="n">
        <x:v>56</x:v>
      </x:c>
      <x:c r="N122" s="14" t="n">
        <x:f>ROUND(AVERAGE(H122:M122),0)</x:f>
        <x:v>60</x:v>
      </x:c>
      <x:c r="O122" s="12" t="str">
        <x:f>IF(N122&gt;=80,"Высокий",IF(N122&gt;=60,"Средний","Низкий"))</x:f>
        <x:v>Средний</x:v>
      </x:c>
      <x:c r="P122" s="12" t="str">
        <x:f>IF(N122&gt;=80,"Низкий",IF(N122&gt;=60,"Средний","Высокий"))</x:f>
        <x:v>Средний</x:v>
      </x:c>
      <x:c r="Q122" s="12" t="str">
        <x:f>IF(MIN(H122:M122)=H122,"Основы цифровой грамотности",IF(MIN(H122:M122)=I122,"Менеджер паролей и 2FA",IF(MIN(H122:M122)=J122,"Персональные данные без утечек",IF(MIN(H122:M122)=K122,"Антифишинг: распознавание угроз",IF(MIN(H122:M122)=L122,"Безопасные платежи и госуслуги","Безопасность в соцсетях")))))</x:f>
        <x:v>Безопасные платежи и госуслуги</x:v>
      </x:c>
      <x:c r="R122" s="12" t="str">
        <x:v>2026-02</x:v>
      </x:c>
      <x:c r="S122" s="12" t="str">
        <x:v>курс SafeNet</x:v>
      </x:c>
    </x:row>
    <x:row r="123">
      <x:c r="A123" s="12" t="n">
        <x:v>122</x:v>
      </x:c>
      <x:c r="B123" s="12" t="str">
        <x:v>Свердловская область</x:v>
      </x:c>
      <x:c r="C123" s="12" t="str">
        <x:v>малый город</x:v>
      </x:c>
      <x:c r="D123" s="12" t="str">
        <x:v>25-34</x:v>
      </x:c>
      <x:c r="E123" s="12" t="str">
        <x:v>Мужской</x:v>
      </x:c>
      <x:c r="F123" s="12" t="str">
        <x:v>обучающийся</x:v>
      </x:c>
      <x:c r="G123" s="12" t="str">
        <x:v>постоянный</x:v>
      </x:c>
      <x:c r="H123" s="14" t="n">
        <x:v>67</x:v>
      </x:c>
      <x:c r="I123" s="14" t="n">
        <x:v>78</x:v>
      </x:c>
      <x:c r="J123" s="14" t="n">
        <x:v>70</x:v>
      </x:c>
      <x:c r="K123" s="14" t="n">
        <x:v>75</x:v>
      </x:c>
      <x:c r="L123" s="14" t="n">
        <x:v>80</x:v>
      </x:c>
      <x:c r="M123" s="14" t="n">
        <x:v>64</x:v>
      </x:c>
      <x:c r="N123" s="14" t="n">
        <x:f>ROUND(AVERAGE(H123:M123),0)</x:f>
        <x:v>72</x:v>
      </x:c>
      <x:c r="O123" s="12" t="str">
        <x:f>IF(N123&gt;=80,"Высокий",IF(N123&gt;=60,"Средний","Низкий"))</x:f>
        <x:v>Средний</x:v>
      </x:c>
      <x:c r="P123" s="12" t="str">
        <x:f>IF(N123&gt;=80,"Низкий",IF(N123&gt;=60,"Средний","Высокий"))</x:f>
        <x:v>Средний</x:v>
      </x:c>
      <x:c r="Q123" s="12" t="str">
        <x:f>IF(MIN(H123:M123)=H123,"Основы цифровой грамотности",IF(MIN(H123:M123)=I123,"Менеджер паролей и 2FA",IF(MIN(H123:M123)=J123,"Персональные данные без утечек",IF(MIN(H123:M123)=K123,"Антифишинг: распознавание угроз",IF(MIN(H123:M123)=L123,"Безопасные платежи и госуслуги","Безопасность в соцсетях")))))</x:f>
        <x:v>Безопасность в соцсетях</x:v>
      </x:c>
      <x:c r="R123" s="12" t="str">
        <x:v>2026-02</x:v>
      </x:c>
      <x:c r="S123" s="12" t="str">
        <x:v>школьный модуль</x:v>
      </x:c>
    </x:row>
    <x:row r="124">
      <x:c r="A124" s="12" t="n">
        <x:v>123</x:v>
      </x:c>
      <x:c r="B124" s="12" t="str">
        <x:v>Ростовская область</x:v>
      </x:c>
      <x:c r="C124" s="12" t="str">
        <x:v>крупный город</x:v>
      </x:c>
      <x:c r="D124" s="12" t="str">
        <x:v>35-44</x:v>
      </x:c>
      <x:c r="E124" s="12" t="str">
        <x:v>Женский</x:v>
      </x:c>
      <x:c r="F124" s="12" t="str">
        <x:v>среднее специальное</x:v>
      </x:c>
      <x:c r="G124" s="12" t="str">
        <x:v>постоянный</x:v>
      </x:c>
      <x:c r="H124" s="14" t="n">
        <x:v>73</x:v>
      </x:c>
      <x:c r="I124" s="14" t="n">
        <x:v>77</x:v>
      </x:c>
      <x:c r="J124" s="14" t="n">
        <x:v>77</x:v>
      </x:c>
      <x:c r="K124" s="14" t="n">
        <x:v>72</x:v>
      </x:c>
      <x:c r="L124" s="14" t="n">
        <x:v>61</x:v>
      </x:c>
      <x:c r="M124" s="14" t="n">
        <x:v>77</x:v>
      </x:c>
      <x:c r="N124" s="14" t="n">
        <x:f>ROUND(AVERAGE(H124:M124),0)</x:f>
        <x:v>73</x:v>
      </x:c>
      <x:c r="O124" s="12" t="str">
        <x:f>IF(N124&gt;=80,"Высокий",IF(N124&gt;=60,"Средний","Низкий"))</x:f>
        <x:v>Средний</x:v>
      </x:c>
      <x:c r="P124" s="12" t="str">
        <x:f>IF(N124&gt;=80,"Низкий",IF(N124&gt;=60,"Средний","Высокий"))</x:f>
        <x:v>Средний</x:v>
      </x:c>
      <x:c r="Q124" s="12" t="str">
        <x:f>IF(MIN(H124:M124)=H124,"Основы цифровой грамотности",IF(MIN(H124:M124)=I124,"Менеджер паролей и 2FA",IF(MIN(H124:M124)=J124,"Персональные данные без утечек",IF(MIN(H124:M124)=K124,"Антифишинг: распознавание угроз",IF(MIN(H124:M124)=L124,"Безопасные платежи и госуслуги","Безопасность в соцсетях")))))</x:f>
        <x:v>Безопасные платежи и госуслуги</x:v>
      </x:c>
      <x:c r="R124" s="12" t="str">
        <x:v>2026-03</x:v>
      </x:c>
      <x:c r="S124" s="12" t="str">
        <x:v>школьный модуль</x:v>
      </x:c>
    </x:row>
    <x:row r="125">
      <x:c r="A125" s="12" t="n">
        <x:v>124</x:v>
      </x:c>
      <x:c r="B125" s="12" t="str">
        <x:v>Новосибирская область</x:v>
      </x:c>
      <x:c r="C125" s="12" t="str">
        <x:v>крупный город</x:v>
      </x:c>
      <x:c r="D125" s="12" t="str">
        <x:v>45-60</x:v>
      </x:c>
      <x:c r="E125" s="12" t="str">
        <x:v>Женский</x:v>
      </x:c>
      <x:c r="F125" s="12" t="str">
        <x:v>высшее</x:v>
      </x:c>
      <x:c r="G125" s="12" t="str">
        <x:v>постоянный</x:v>
      </x:c>
      <x:c r="H125" s="14" t="n">
        <x:v>57</x:v>
      </x:c>
      <x:c r="I125" s="14" t="n">
        <x:v>61</x:v>
      </x:c>
      <x:c r="J125" s="14" t="n">
        <x:v>86</x:v>
      </x:c>
      <x:c r="K125" s="14" t="n">
        <x:v>62</x:v>
      </x:c>
      <x:c r="L125" s="14" t="n">
        <x:v>37</x:v>
      </x:c>
      <x:c r="M125" s="14" t="n">
        <x:v>59</x:v>
      </x:c>
      <x:c r="N125" s="14" t="n">
        <x:f>ROUND(AVERAGE(H125:M125),0)</x:f>
        <x:v>60</x:v>
      </x:c>
      <x:c r="O125" s="12" t="str">
        <x:f>IF(N125&gt;=80,"Высокий",IF(N125&gt;=60,"Средний","Низкий"))</x:f>
        <x:v>Средний</x:v>
      </x:c>
      <x:c r="P125" s="12" t="str">
        <x:f>IF(N125&gt;=80,"Низкий",IF(N125&gt;=60,"Средний","Высокий"))</x:f>
        <x:v>Средний</x:v>
      </x:c>
      <x:c r="Q125" s="12" t="str">
        <x:f>IF(MIN(H125:M125)=H125,"Основы цифровой грамотности",IF(MIN(H125:M125)=I125,"Менеджер паролей и 2FA",IF(MIN(H125:M125)=J125,"Персональные данные без утечек",IF(MIN(H125:M125)=K125,"Антифишинг: распознавание угроз",IF(MIN(H125:M125)=L125,"Безопасные платежи и госуслуги","Безопасность в соцсетях")))))</x:f>
        <x:v>Безопасные платежи и госуслуги</x:v>
      </x:c>
      <x:c r="R125" s="12" t="str">
        <x:v>2026-01</x:v>
      </x:c>
      <x:c r="S125" s="12" t="str">
        <x:v>онлайн-анкета</x:v>
      </x:c>
    </x:row>
    <x:row r="126">
      <x:c r="A126" s="12" t="n">
        <x:v>125</x:v>
      </x:c>
      <x:c r="B126" s="12" t="str">
        <x:v>Свердловская область</x:v>
      </x:c>
      <x:c r="C126" s="12" t="str">
        <x:v>село</x:v>
      </x:c>
      <x:c r="D126" s="12" t="str">
        <x:v>25-34</x:v>
      </x:c>
      <x:c r="E126" s="12" t="str">
        <x:v>Мужской</x:v>
      </x:c>
      <x:c r="F126" s="12" t="str">
        <x:v>высшее</x:v>
      </x:c>
      <x:c r="G126" s="12" t="str">
        <x:v>постоянный</x:v>
      </x:c>
      <x:c r="H126" s="14" t="n">
        <x:v>59</x:v>
      </x:c>
      <x:c r="I126" s="14" t="n">
        <x:v>68</x:v>
      </x:c>
      <x:c r="J126" s="14" t="n">
        <x:v>73</x:v>
      </x:c>
      <x:c r="K126" s="14" t="n">
        <x:v>55</x:v>
      </x:c>
      <x:c r="L126" s="14" t="n">
        <x:v>80</x:v>
      </x:c>
      <x:c r="M126" s="14" t="n">
        <x:v>54</x:v>
      </x:c>
      <x:c r="N126" s="14" t="n">
        <x:f>ROUND(AVERAGE(H126:M126),0)</x:f>
        <x:v>65</x:v>
      </x:c>
      <x:c r="O126" s="12" t="str">
        <x:f>IF(N126&gt;=80,"Высокий",IF(N126&gt;=60,"Средний","Низкий"))</x:f>
        <x:v>Средний</x:v>
      </x:c>
      <x:c r="P126" s="12" t="str">
        <x:f>IF(N126&gt;=80,"Низкий",IF(N126&gt;=60,"Средний","Высокий"))</x:f>
        <x:v>Средний</x:v>
      </x:c>
      <x:c r="Q126" s="12" t="str">
        <x:f>IF(MIN(H126:M126)=H126,"Основы цифровой грамотности",IF(MIN(H126:M126)=I126,"Менеджер паролей и 2FA",IF(MIN(H126:M126)=J126,"Персональные данные без утечек",IF(MIN(H126:M126)=K126,"Антифишинг: распознавание угроз",IF(MIN(H126:M126)=L126,"Безопасные платежи и госуслуги","Безопасность в соцсетях")))))</x:f>
        <x:v>Безопасность в соцсетях</x:v>
      </x:c>
      <x:c r="R126" s="12" t="str">
        <x:v>2026-01</x:v>
      </x:c>
      <x:c r="S126" s="12" t="str">
        <x:v>курс SafeNet</x:v>
      </x:c>
    </x:row>
    <x:row r="127">
      <x:c r="A127" s="12" t="n">
        <x:v>126</x:v>
      </x:c>
      <x:c r="B127" s="12" t="str">
        <x:v>Москва</x:v>
      </x:c>
      <x:c r="C127" s="12" t="str">
        <x:v>крупный город</x:v>
      </x:c>
      <x:c r="D127" s="12" t="str">
        <x:v>35-44</x:v>
      </x:c>
      <x:c r="E127" s="12" t="str">
        <x:v>Женский</x:v>
      </x:c>
      <x:c r="F127" s="12" t="str">
        <x:v>среднее специальное</x:v>
      </x:c>
      <x:c r="G127" s="12" t="str">
        <x:v>постоянный</x:v>
      </x:c>
      <x:c r="H127" s="14" t="n">
        <x:v>85</x:v>
      </x:c>
      <x:c r="I127" s="14" t="n">
        <x:v>74</x:v>
      </x:c>
      <x:c r="J127" s="14" t="n">
        <x:v>71</x:v>
      </x:c>
      <x:c r="K127" s="14" t="n">
        <x:v>59</x:v>
      </x:c>
      <x:c r="L127" s="14" t="n">
        <x:v>86</x:v>
      </x:c>
      <x:c r="M127" s="14" t="n">
        <x:v>67</x:v>
      </x:c>
      <x:c r="N127" s="14" t="n">
        <x:f>ROUND(AVERAGE(H127:M127),0)</x:f>
        <x:v>74</x:v>
      </x:c>
      <x:c r="O127" s="12" t="str">
        <x:f>IF(N127&gt;=80,"Высокий",IF(N127&gt;=60,"Средний","Низкий"))</x:f>
        <x:v>Средний</x:v>
      </x:c>
      <x:c r="P127" s="12" t="str">
        <x:f>IF(N127&gt;=80,"Низкий",IF(N127&gt;=60,"Средний","Высокий"))</x:f>
        <x:v>Средний</x:v>
      </x:c>
      <x:c r="Q127" s="12" t="str">
        <x:f>IF(MIN(H127:M127)=H127,"Основы цифровой грамотности",IF(MIN(H127:M127)=I127,"Менеджер паролей и 2FA",IF(MIN(H127:M127)=J127,"Персональные данные без утечек",IF(MIN(H127:M127)=K127,"Антифишинг: распознавание угроз",IF(MIN(H127:M127)=L127,"Безопасные платежи и госуслуги","Безопасность в соцсетях")))))</x:f>
        <x:v>Антифишинг: распознавание угроз</x:v>
      </x:c>
      <x:c r="R127" s="12" t="str">
        <x:v>2026-01</x:v>
      </x:c>
      <x:c r="S127" s="12" t="str">
        <x:v>курс SafeNet</x:v>
      </x:c>
    </x:row>
    <x:row r="128">
      <x:c r="A128" s="12" t="n">
        <x:v>127</x:v>
      </x:c>
      <x:c r="B128" s="12" t="str">
        <x:v>Краснодарский край</x:v>
      </x:c>
      <x:c r="C128" s="12" t="str">
        <x:v>крупный город</x:v>
      </x:c>
      <x:c r="D128" s="12" t="str">
        <x:v>45-60</x:v>
      </x:c>
      <x:c r="E128" s="12" t="str">
        <x:v>Мужской</x:v>
      </x:c>
      <x:c r="F128" s="12" t="str">
        <x:v>обучающийся</x:v>
      </x:c>
      <x:c r="G128" s="12" t="str">
        <x:v>нестабильный</x:v>
      </x:c>
      <x:c r="H128" s="14" t="n">
        <x:v>61</x:v>
      </x:c>
      <x:c r="I128" s="14" t="n">
        <x:v>49</x:v>
      </x:c>
      <x:c r="J128" s="14" t="n">
        <x:v>45</x:v>
      </x:c>
      <x:c r="K128" s="14" t="n">
        <x:v>53</x:v>
      </x:c>
      <x:c r="L128" s="14" t="n">
        <x:v>63</x:v>
      </x:c>
      <x:c r="M128" s="14" t="n">
        <x:v>57</x:v>
      </x:c>
      <x:c r="N128" s="14" t="n">
        <x:f>ROUND(AVERAGE(H128:M128),0)</x:f>
        <x:v>55</x:v>
      </x:c>
      <x:c r="O128" s="12" t="str">
        <x:f>IF(N128&gt;=80,"Высокий",IF(N128&gt;=60,"Средний","Низкий"))</x:f>
        <x:v>Низкий</x:v>
      </x:c>
      <x:c r="P128" s="12" t="str">
        <x:f>IF(N128&gt;=80,"Низкий",IF(N128&gt;=60,"Средний","Высокий"))</x:f>
        <x:v>Высокий</x:v>
      </x:c>
      <x:c r="Q128" s="12" t="str">
        <x:f>IF(MIN(H128:M128)=H128,"Основы цифровой грамотности",IF(MIN(H128:M128)=I128,"Менеджер паролей и 2FA",IF(MIN(H128:M128)=J128,"Персональные данные без утечек",IF(MIN(H128:M128)=K128,"Антифишинг: распознавание угроз",IF(MIN(H128:M128)=L128,"Безопасные платежи и госуслуги","Безопасность в соцсетях")))))</x:f>
        <x:v>Персональные данные без утечек</x:v>
      </x:c>
      <x:c r="R128" s="12" t="str">
        <x:v>2026-05</x:v>
      </x:c>
      <x:c r="S128" s="12" t="str">
        <x:v>курс SafeNet</x:v>
      </x:c>
    </x:row>
    <x:row r="129">
      <x:c r="A129" s="12" t="n">
        <x:v>128</x:v>
      </x:c>
      <x:c r="B129" s="12" t="str">
        <x:v>Татарстан</x:v>
      </x:c>
      <x:c r="C129" s="12" t="str">
        <x:v>крупный город</x:v>
      </x:c>
      <x:c r="D129" s="12" t="str">
        <x:v>35-44</x:v>
      </x:c>
      <x:c r="E129" s="12" t="str">
        <x:v>Мужской</x:v>
      </x:c>
      <x:c r="F129" s="12" t="str">
        <x:v>высшее</x:v>
      </x:c>
      <x:c r="G129" s="12" t="str">
        <x:v>постоянный</x:v>
      </x:c>
      <x:c r="H129" s="14" t="n">
        <x:v>69</x:v>
      </x:c>
      <x:c r="I129" s="14" t="n">
        <x:v>65</x:v>
      </x:c>
      <x:c r="J129" s="14" t="n">
        <x:v>86</x:v>
      </x:c>
      <x:c r="K129" s="14" t="n">
        <x:v>66</x:v>
      </x:c>
      <x:c r="L129" s="14" t="n">
        <x:v>68</x:v>
      </x:c>
      <x:c r="M129" s="14" t="n">
        <x:v>77</x:v>
      </x:c>
      <x:c r="N129" s="14" t="n">
        <x:f>ROUND(AVERAGE(H129:M129),0)</x:f>
        <x:v>72</x:v>
      </x:c>
      <x:c r="O129" s="12" t="str">
        <x:f>IF(N129&gt;=80,"Высокий",IF(N129&gt;=60,"Средний","Низкий"))</x:f>
        <x:v>Средний</x:v>
      </x:c>
      <x:c r="P129" s="12" t="str">
        <x:f>IF(N129&gt;=80,"Низкий",IF(N129&gt;=60,"Средний","Высокий"))</x:f>
        <x:v>Средний</x:v>
      </x:c>
      <x:c r="Q129" s="12" t="str">
        <x:f>IF(MIN(H129:M129)=H129,"Основы цифровой грамотности",IF(MIN(H129:M129)=I129,"Менеджер паролей и 2FA",IF(MIN(H129:M129)=J129,"Персональные данные без утечек",IF(MIN(H129:M129)=K129,"Антифишинг: распознавание угроз",IF(MIN(H129:M129)=L129,"Безопасные платежи и госуслуги","Безопасность в соцсетях")))))</x:f>
        <x:v>Менеджер паролей и 2FA</x:v>
      </x:c>
      <x:c r="R129" s="12" t="str">
        <x:v>2026-04</x:v>
      </x:c>
      <x:c r="S129" s="12" t="str">
        <x:v>онлайн-анкета</x:v>
      </x:c>
    </x:row>
    <x:row r="130">
      <x:c r="A130" s="12" t="n">
        <x:v>129</x:v>
      </x:c>
      <x:c r="B130" s="12" t="str">
        <x:v>Краснодарский край</x:v>
      </x:c>
      <x:c r="C130" s="12" t="str">
        <x:v>крупный город</x:v>
      </x:c>
      <x:c r="D130" s="12" t="str">
        <x:v>25-34</x:v>
      </x:c>
      <x:c r="E130" s="12" t="str">
        <x:v>Женский</x:v>
      </x:c>
      <x:c r="F130" s="12" t="str">
        <x:v>среднее</x:v>
      </x:c>
      <x:c r="G130" s="12" t="str">
        <x:v>постоянный</x:v>
      </x:c>
      <x:c r="H130" s="14" t="n">
        <x:v>74</x:v>
      </x:c>
      <x:c r="I130" s="14" t="n">
        <x:v>97</x:v>
      </x:c>
      <x:c r="J130" s="14" t="n">
        <x:v>88</x:v>
      </x:c>
      <x:c r="K130" s="14" t="n">
        <x:v>65</x:v>
      </x:c>
      <x:c r="L130" s="14" t="n">
        <x:v>73</x:v>
      </x:c>
      <x:c r="M130" s="14" t="n">
        <x:v>72</x:v>
      </x:c>
      <x:c r="N130" s="14" t="n">
        <x:f>ROUND(AVERAGE(H130:M130),0)</x:f>
        <x:v>78</x:v>
      </x:c>
      <x:c r="O130" s="12" t="str">
        <x:f>IF(N130&gt;=80,"Высокий",IF(N130&gt;=60,"Средний","Низкий"))</x:f>
        <x:v>Средний</x:v>
      </x:c>
      <x:c r="P130" s="12" t="str">
        <x:f>IF(N130&gt;=80,"Низкий",IF(N130&gt;=60,"Средний","Высокий"))</x:f>
        <x:v>Средний</x:v>
      </x:c>
      <x:c r="Q130" s="12" t="str">
        <x:f>IF(MIN(H130:M130)=H130,"Основы цифровой грамотности",IF(MIN(H130:M130)=I130,"Менеджер паролей и 2FA",IF(MIN(H130:M130)=J130,"Персональные данные без утечек",IF(MIN(H130:M130)=K130,"Антифишинг: распознавание угроз",IF(MIN(H130:M130)=L130,"Безопасные платежи и госуслуги","Безопасность в соцсетях")))))</x:f>
        <x:v>Антифишинг: распознавание угроз</x:v>
      </x:c>
      <x:c r="R130" s="12" t="str">
        <x:v>2026-05</x:v>
      </x:c>
      <x:c r="S130" s="12" t="str">
        <x:v>курс SafeNet</x:v>
      </x:c>
    </x:row>
    <x:row r="131">
      <x:c r="A131" s="12" t="n">
        <x:v>130</x:v>
      </x:c>
      <x:c r="B131" s="12" t="str">
        <x:v>Татарстан</x:v>
      </x:c>
      <x:c r="C131" s="12" t="str">
        <x:v>малый город</x:v>
      </x:c>
      <x:c r="D131" s="12" t="str">
        <x:v>25-34</x:v>
      </x:c>
      <x:c r="E131" s="12" t="str">
        <x:v>Мужской</x:v>
      </x:c>
      <x:c r="F131" s="12" t="str">
        <x:v>высшее</x:v>
      </x:c>
      <x:c r="G131" s="12" t="str">
        <x:v>постоянный</x:v>
      </x:c>
      <x:c r="H131" s="14" t="n">
        <x:v>63</x:v>
      </x:c>
      <x:c r="I131" s="14" t="n">
        <x:v>85</x:v>
      </x:c>
      <x:c r="J131" s="14" t="n">
        <x:v>74</x:v>
      </x:c>
      <x:c r="K131" s="14" t="n">
        <x:v>83</x:v>
      </x:c>
      <x:c r="L131" s="14" t="n">
        <x:v>72</x:v>
      </x:c>
      <x:c r="M131" s="14" t="n">
        <x:v>65</x:v>
      </x:c>
      <x:c r="N131" s="14" t="n">
        <x:f>ROUND(AVERAGE(H131:M131),0)</x:f>
        <x:v>74</x:v>
      </x:c>
      <x:c r="O131" s="12" t="str">
        <x:f>IF(N131&gt;=80,"Высокий",IF(N131&gt;=60,"Средний","Низкий"))</x:f>
        <x:v>Средний</x:v>
      </x:c>
      <x:c r="P131" s="12" t="str">
        <x:f>IF(N131&gt;=80,"Низкий",IF(N131&gt;=60,"Средний","Высокий"))</x:f>
        <x:v>Средний</x:v>
      </x:c>
      <x:c r="Q131" s="12" t="str">
        <x:f>IF(MIN(H131:M131)=H131,"Основы цифровой грамотности",IF(MIN(H131:M131)=I131,"Менеджер паролей и 2FA",IF(MIN(H131:M131)=J131,"Персональные данные без утечек",IF(MIN(H131:M131)=K131,"Антифишинг: распознавание угроз",IF(MIN(H131:M131)=L131,"Безопасные платежи и госуслуги","Безопасность в соцсетях")))))</x:f>
        <x:v>Основы цифровой грамотности</x:v>
      </x:c>
      <x:c r="R131" s="12" t="str">
        <x:v>2026-04</x:v>
      </x:c>
      <x:c r="S131" s="12" t="str">
        <x:v>опрос в центре</x:v>
      </x:c>
    </x:row>
    <x:row r="132">
      <x:c r="A132" s="12" t="n">
        <x:v>131</x:v>
      </x:c>
      <x:c r="B132" s="12" t="str">
        <x:v>Башкортостан</x:v>
      </x:c>
      <x:c r="C132" s="12" t="str">
        <x:v>крупный город</x:v>
      </x:c>
      <x:c r="D132" s="12" t="str">
        <x:v>35-44</x:v>
      </x:c>
      <x:c r="E132" s="12" t="str">
        <x:v>Мужской</x:v>
      </x:c>
      <x:c r="F132" s="12" t="str">
        <x:v>обучающийся</x:v>
      </x:c>
      <x:c r="G132" s="12" t="str">
        <x:v>постоянный</x:v>
      </x:c>
      <x:c r="H132" s="14" t="n">
        <x:v>92</x:v>
      </x:c>
      <x:c r="I132" s="14" t="n">
        <x:v>59</x:v>
      </x:c>
      <x:c r="J132" s="14" t="n">
        <x:v>70</x:v>
      </x:c>
      <x:c r="K132" s="14" t="n">
        <x:v>63</x:v>
      </x:c>
      <x:c r="L132" s="14" t="n">
        <x:v>75</x:v>
      </x:c>
      <x:c r="M132" s="14" t="n">
        <x:v>73</x:v>
      </x:c>
      <x:c r="N132" s="14" t="n">
        <x:f>ROUND(AVERAGE(H132:M132),0)</x:f>
        <x:v>72</x:v>
      </x:c>
      <x:c r="O132" s="12" t="str">
        <x:f>IF(N132&gt;=80,"Высокий",IF(N132&gt;=60,"Средний","Низкий"))</x:f>
        <x:v>Средний</x:v>
      </x:c>
      <x:c r="P132" s="12" t="str">
        <x:f>IF(N132&gt;=80,"Низкий",IF(N132&gt;=60,"Средний","Высокий"))</x:f>
        <x:v>Средний</x:v>
      </x:c>
      <x:c r="Q132" s="12" t="str">
        <x:f>IF(MIN(H132:M132)=H132,"Основы цифровой грамотности",IF(MIN(H132:M132)=I132,"Менеджер паролей и 2FA",IF(MIN(H132:M132)=J132,"Персональные данные без утечек",IF(MIN(H132:M132)=K132,"Антифишинг: распознавание угроз",IF(MIN(H132:M132)=L132,"Безопасные платежи и госуслуги","Безопасность в соцсетях")))))</x:f>
        <x:v>Менеджер паролей и 2FA</x:v>
      </x:c>
      <x:c r="R132" s="12" t="str">
        <x:v>2026-05</x:v>
      </x:c>
      <x:c r="S132" s="12" t="str">
        <x:v>курс SafeNet</x:v>
      </x:c>
    </x:row>
    <x:row r="133">
      <x:c r="A133" s="12" t="n">
        <x:v>132</x:v>
      </x:c>
      <x:c r="B133" s="12" t="str">
        <x:v>Краснодарский край</x:v>
      </x:c>
      <x:c r="C133" s="12" t="str">
        <x:v>крупный город</x:v>
      </x:c>
      <x:c r="D133" s="12" t="str">
        <x:v>60+</x:v>
      </x:c>
      <x:c r="E133" s="12" t="str">
        <x:v>Мужской</x:v>
      </x:c>
      <x:c r="F133" s="12" t="str">
        <x:v>среднее специальное</x:v>
      </x:c>
      <x:c r="G133" s="12" t="str">
        <x:v>постоянный</x:v>
      </x:c>
      <x:c r="H133" s="14" t="n">
        <x:v>41</x:v>
      </x:c>
      <x:c r="I133" s="14" t="n">
        <x:v>46</x:v>
      </x:c>
      <x:c r="J133" s="14" t="n">
        <x:v>61</x:v>
      </x:c>
      <x:c r="K133" s="14" t="n">
        <x:v>37</x:v>
      </x:c>
      <x:c r="L133" s="14" t="n">
        <x:v>55</x:v>
      </x:c>
      <x:c r="M133" s="14" t="n">
        <x:v>42</x:v>
      </x:c>
      <x:c r="N133" s="14" t="n">
        <x:f>ROUND(AVERAGE(H133:M133),0)</x:f>
        <x:v>47</x:v>
      </x:c>
      <x:c r="O133" s="12" t="str">
        <x:f>IF(N133&gt;=80,"Высокий",IF(N133&gt;=60,"Средний","Низкий"))</x:f>
        <x:v>Низкий</x:v>
      </x:c>
      <x:c r="P133" s="12" t="str">
        <x:f>IF(N133&gt;=80,"Низкий",IF(N133&gt;=60,"Средний","Высокий"))</x:f>
        <x:v>Высокий</x:v>
      </x:c>
      <x:c r="Q133" s="12" t="str">
        <x:f>IF(MIN(H133:M133)=H133,"Основы цифровой грамотности",IF(MIN(H133:M133)=I133,"Менеджер паролей и 2FA",IF(MIN(H133:M133)=J133,"Персональные данные без утечек",IF(MIN(H133:M133)=K133,"Антифишинг: распознавание угроз",IF(MIN(H133:M133)=L133,"Безопасные платежи и госуслуги","Безопасность в соцсетях")))))</x:f>
        <x:v>Антифишинг: распознавание угроз</x:v>
      </x:c>
      <x:c r="R133" s="12" t="str">
        <x:v>2026-02</x:v>
      </x:c>
      <x:c r="S133" s="12" t="str">
        <x:v>школьный модуль</x:v>
      </x:c>
    </x:row>
    <x:row r="134">
      <x:c r="A134" s="12" t="n">
        <x:v>133</x:v>
      </x:c>
      <x:c r="B134" s="12" t="str">
        <x:v>Ростовская область</x:v>
      </x:c>
      <x:c r="C134" s="12" t="str">
        <x:v>село</x:v>
      </x:c>
      <x:c r="D134" s="12" t="str">
        <x:v>18-24</x:v>
      </x:c>
      <x:c r="E134" s="12" t="str">
        <x:v>Мужской</x:v>
      </x:c>
      <x:c r="F134" s="12" t="str">
        <x:v>высшее</x:v>
      </x:c>
      <x:c r="G134" s="12" t="str">
        <x:v>ограниченный</x:v>
      </x:c>
      <x:c r="H134" s="14" t="n">
        <x:v>68</x:v>
      </x:c>
      <x:c r="I134" s="14" t="n">
        <x:v>46</x:v>
      </x:c>
      <x:c r="J134" s="14" t="n">
        <x:v>58</x:v>
      </x:c>
      <x:c r="K134" s="14" t="n">
        <x:v>48</x:v>
      </x:c>
      <x:c r="L134" s="14" t="n">
        <x:v>50</x:v>
      </x:c>
      <x:c r="M134" s="14" t="n">
        <x:v>62</x:v>
      </x:c>
      <x:c r="N134" s="14" t="n">
        <x:f>ROUND(AVERAGE(H134:M134),0)</x:f>
        <x:v>55</x:v>
      </x:c>
      <x:c r="O134" s="12" t="str">
        <x:f>IF(N134&gt;=80,"Высокий",IF(N134&gt;=60,"Средний","Низкий"))</x:f>
        <x:v>Низкий</x:v>
      </x:c>
      <x:c r="P134" s="12" t="str">
        <x:f>IF(N134&gt;=80,"Низкий",IF(N134&gt;=60,"Средний","Высокий"))</x:f>
        <x:v>Высокий</x:v>
      </x:c>
      <x:c r="Q134" s="12" t="str">
        <x:f>IF(MIN(H134:M134)=H134,"Основы цифровой грамотности",IF(MIN(H134:M134)=I134,"Менеджер паролей и 2FA",IF(MIN(H134:M134)=J134,"Персональные данные без утечек",IF(MIN(H134:M134)=K134,"Антифишинг: распознавание угроз",IF(MIN(H134:M134)=L134,"Безопасные платежи и госуслуги","Безопасность в соцсетях")))))</x:f>
        <x:v>Менеджер паролей и 2FA</x:v>
      </x:c>
      <x:c r="R134" s="12" t="str">
        <x:v>2026-01</x:v>
      </x:c>
      <x:c r="S134" s="12" t="str">
        <x:v>курс SafeNet</x:v>
      </x:c>
    </x:row>
    <x:row r="135">
      <x:c r="A135" s="12" t="n">
        <x:v>134</x:v>
      </x:c>
      <x:c r="B135" s="12" t="str">
        <x:v>Башкортостан</x:v>
      </x:c>
      <x:c r="C135" s="12" t="str">
        <x:v>село</x:v>
      </x:c>
      <x:c r="D135" s="12" t="str">
        <x:v>45-60</x:v>
      </x:c>
      <x:c r="E135" s="12" t="str">
        <x:v>Мужской</x:v>
      </x:c>
      <x:c r="F135" s="12" t="str">
        <x:v>среднее специальное</x:v>
      </x:c>
      <x:c r="G135" s="12" t="str">
        <x:v>нестабильный</x:v>
      </x:c>
      <x:c r="H135" s="14" t="n">
        <x:v>48</x:v>
      </x:c>
      <x:c r="I135" s="14" t="n">
        <x:v>53</x:v>
      </x:c>
      <x:c r="J135" s="14" t="n">
        <x:v>44</x:v>
      </x:c>
      <x:c r="K135" s="14" t="n">
        <x:v>34</x:v>
      </x:c>
      <x:c r="L135" s="14" t="n">
        <x:v>40</x:v>
      </x:c>
      <x:c r="M135" s="14" t="n">
        <x:v>47</x:v>
      </x:c>
      <x:c r="N135" s="14" t="n">
        <x:f>ROUND(AVERAGE(H135:M135),0)</x:f>
        <x:v>44</x:v>
      </x:c>
      <x:c r="O135" s="12" t="str">
        <x:f>IF(N135&gt;=80,"Высокий",IF(N135&gt;=60,"Средний","Низкий"))</x:f>
        <x:v>Низкий</x:v>
      </x:c>
      <x:c r="P135" s="12" t="str">
        <x:f>IF(N135&gt;=80,"Низкий",IF(N135&gt;=60,"Средний","Высокий"))</x:f>
        <x:v>Высокий</x:v>
      </x:c>
      <x:c r="Q135" s="12" t="str">
        <x:f>IF(MIN(H135:M135)=H135,"Основы цифровой грамотности",IF(MIN(H135:M135)=I135,"Менеджер паролей и 2FA",IF(MIN(H135:M135)=J135,"Персональные данные без утечек",IF(MIN(H135:M135)=K135,"Антифишинг: распознавание угроз",IF(MIN(H135:M135)=L135,"Безопасные платежи и госуслуги","Безопасность в соцсетях")))))</x:f>
        <x:v>Антифишинг: распознавание угроз</x:v>
      </x:c>
      <x:c r="R135" s="12" t="str">
        <x:v>2026-02</x:v>
      </x:c>
      <x:c r="S135" s="12" t="str">
        <x:v>школьный модуль</x:v>
      </x:c>
    </x:row>
    <x:row r="136">
      <x:c r="A136" s="12" t="n">
        <x:v>135</x:v>
      </x:c>
      <x:c r="B136" s="12" t="str">
        <x:v>Ростовская область</x:v>
      </x:c>
      <x:c r="C136" s="12" t="str">
        <x:v>крупный город</x:v>
      </x:c>
      <x:c r="D136" s="12" t="str">
        <x:v>35-44</x:v>
      </x:c>
      <x:c r="E136" s="12" t="str">
        <x:v>Мужской</x:v>
      </x:c>
      <x:c r="F136" s="12" t="str">
        <x:v>высшее</x:v>
      </x:c>
      <x:c r="G136" s="12" t="str">
        <x:v>постоянный</x:v>
      </x:c>
      <x:c r="H136" s="14" t="n">
        <x:v>68</x:v>
      </x:c>
      <x:c r="I136" s="14" t="n">
        <x:v>65</x:v>
      </x:c>
      <x:c r="J136" s="14" t="n">
        <x:v>64</x:v>
      </x:c>
      <x:c r="K136" s="14" t="n">
        <x:v>56</x:v>
      </x:c>
      <x:c r="L136" s="14" t="n">
        <x:v>69</x:v>
      </x:c>
      <x:c r="M136" s="14" t="n">
        <x:v>65</x:v>
      </x:c>
      <x:c r="N136" s="14" t="n">
        <x:f>ROUND(AVERAGE(H136:M136),0)</x:f>
        <x:v>65</x:v>
      </x:c>
      <x:c r="O136" s="12" t="str">
        <x:f>IF(N136&gt;=80,"Высокий",IF(N136&gt;=60,"Средний","Низкий"))</x:f>
        <x:v>Средний</x:v>
      </x:c>
      <x:c r="P136" s="12" t="str">
        <x:f>IF(N136&gt;=80,"Низкий",IF(N136&gt;=60,"Средний","Высокий"))</x:f>
        <x:v>Средний</x:v>
      </x:c>
      <x:c r="Q136" s="12" t="str">
        <x:f>IF(MIN(H136:M136)=H136,"Основы цифровой грамотности",IF(MIN(H136:M136)=I136,"Менеджер паролей и 2FA",IF(MIN(H136:M136)=J136,"Персональные данные без утечек",IF(MIN(H136:M136)=K136,"Антифишинг: распознавание угроз",IF(MIN(H136:M136)=L136,"Безопасные платежи и госуслуги","Безопасность в соцсетях")))))</x:f>
        <x:v>Антифишинг: распознавание угроз</x:v>
      </x:c>
      <x:c r="R136" s="12" t="str">
        <x:v>2026-06</x:v>
      </x:c>
      <x:c r="S136" s="12" t="str">
        <x:v>курс SafeNet</x:v>
      </x:c>
    </x:row>
    <x:row r="137">
      <x:c r="A137" s="12" t="n">
        <x:v>136</x:v>
      </x:c>
      <x:c r="B137" s="12" t="str">
        <x:v>Санкт-Петербург</x:v>
      </x:c>
      <x:c r="C137" s="12" t="str">
        <x:v>крупный город</x:v>
      </x:c>
      <x:c r="D137" s="12" t="str">
        <x:v>35-44</x:v>
      </x:c>
      <x:c r="E137" s="12" t="str">
        <x:v>Мужской</x:v>
      </x:c>
      <x:c r="F137" s="12" t="str">
        <x:v>высшее</x:v>
      </x:c>
      <x:c r="G137" s="12" t="str">
        <x:v>ограниченный</x:v>
      </x:c>
      <x:c r="H137" s="14" t="n">
        <x:v>71</x:v>
      </x:c>
      <x:c r="I137" s="14" t="n">
        <x:v>59</x:v>
      </x:c>
      <x:c r="J137" s="14" t="n">
        <x:v>49</x:v>
      </x:c>
      <x:c r="K137" s="14" t="n">
        <x:v>41</x:v>
      </x:c>
      <x:c r="L137" s="14" t="n">
        <x:v>48</x:v>
      </x:c>
      <x:c r="M137" s="14" t="n">
        <x:v>61</x:v>
      </x:c>
      <x:c r="N137" s="14" t="n">
        <x:f>ROUND(AVERAGE(H137:M137),0)</x:f>
        <x:v>55</x:v>
      </x:c>
      <x:c r="O137" s="12" t="str">
        <x:f>IF(N137&gt;=80,"Высокий",IF(N137&gt;=60,"Средний","Низкий"))</x:f>
        <x:v>Низкий</x:v>
      </x:c>
      <x:c r="P137" s="12" t="str">
        <x:f>IF(N137&gt;=80,"Низкий",IF(N137&gt;=60,"Средний","Высокий"))</x:f>
        <x:v>Высокий</x:v>
      </x:c>
      <x:c r="Q137" s="12" t="str">
        <x:f>IF(MIN(H137:M137)=H137,"Основы цифровой грамотности",IF(MIN(H137:M137)=I137,"Менеджер паролей и 2FA",IF(MIN(H137:M137)=J137,"Персональные данные без утечек",IF(MIN(H137:M137)=K137,"Антифишинг: распознавание угроз",IF(MIN(H137:M137)=L137,"Безопасные платежи и госуслуги","Безопасность в соцсетях")))))</x:f>
        <x:v>Антифишинг: распознавание угроз</x:v>
      </x:c>
      <x:c r="R137" s="12" t="str">
        <x:v>2026-03</x:v>
      </x:c>
      <x:c r="S137" s="12" t="str">
        <x:v>онлайн-анкета</x:v>
      </x:c>
    </x:row>
    <x:row r="138">
      <x:c r="A138" s="12" t="n">
        <x:v>137</x:v>
      </x:c>
      <x:c r="B138" s="12" t="str">
        <x:v>Санкт-Петербург</x:v>
      </x:c>
      <x:c r="C138" s="12" t="str">
        <x:v>крупный город</x:v>
      </x:c>
      <x:c r="D138" s="12" t="str">
        <x:v>35-44</x:v>
      </x:c>
      <x:c r="E138" s="12" t="str">
        <x:v>Женский</x:v>
      </x:c>
      <x:c r="F138" s="12" t="str">
        <x:v>обучающийся</x:v>
      </x:c>
      <x:c r="G138" s="12" t="str">
        <x:v>постоянный</x:v>
      </x:c>
      <x:c r="H138" s="14" t="n">
        <x:v>76</x:v>
      </x:c>
      <x:c r="I138" s="14" t="n">
        <x:v>67</x:v>
      </x:c>
      <x:c r="J138" s="14" t="n">
        <x:v>79</x:v>
      </x:c>
      <x:c r="K138" s="14" t="n">
        <x:v>62</x:v>
      </x:c>
      <x:c r="L138" s="14" t="n">
        <x:v>83</x:v>
      </x:c>
      <x:c r="M138" s="14" t="n">
        <x:v>48</x:v>
      </x:c>
      <x:c r="N138" s="14" t="n">
        <x:f>ROUND(AVERAGE(H138:M138),0)</x:f>
        <x:v>69</x:v>
      </x:c>
      <x:c r="O138" s="12" t="str">
        <x:f>IF(N138&gt;=80,"Высокий",IF(N138&gt;=60,"Средний","Низкий"))</x:f>
        <x:v>Средний</x:v>
      </x:c>
      <x:c r="P138" s="12" t="str">
        <x:f>IF(N138&gt;=80,"Низкий",IF(N138&gt;=60,"Средний","Высокий"))</x:f>
        <x:v>Средний</x:v>
      </x:c>
      <x:c r="Q138" s="12" t="str">
        <x:f>IF(MIN(H138:M138)=H138,"Основы цифровой грамотности",IF(MIN(H138:M138)=I138,"Менеджер паролей и 2FA",IF(MIN(H138:M138)=J138,"Персональные данные без утечек",IF(MIN(H138:M138)=K138,"Антифишинг: распознавание угроз",IF(MIN(H138:M138)=L138,"Безопасные платежи и госуслуги","Безопасность в соцсетях")))))</x:f>
        <x:v>Безопасность в соцсетях</x:v>
      </x:c>
      <x:c r="R138" s="12" t="str">
        <x:v>2026-04</x:v>
      </x:c>
      <x:c r="S138" s="12" t="str">
        <x:v>опрос в центре</x:v>
      </x:c>
    </x:row>
    <x:row r="139">
      <x:c r="A139" s="12" t="n">
        <x:v>138</x:v>
      </x:c>
      <x:c r="B139" s="12" t="str">
        <x:v>Приморский край</x:v>
      </x:c>
      <x:c r="C139" s="12" t="str">
        <x:v>село</x:v>
      </x:c>
      <x:c r="D139" s="12" t="str">
        <x:v>60+</x:v>
      </x:c>
      <x:c r="E139" s="12" t="str">
        <x:v>Мужской</x:v>
      </x:c>
      <x:c r="F139" s="12" t="str">
        <x:v>среднее специальное</x:v>
      </x:c>
      <x:c r="G139" s="12" t="str">
        <x:v>нестабильный</x:v>
      </x:c>
      <x:c r="H139" s="14" t="n">
        <x:v>52</x:v>
      </x:c>
      <x:c r="I139" s="14" t="n">
        <x:v>35</x:v>
      </x:c>
      <x:c r="J139" s="14" t="n">
        <x:v>57</x:v>
      </x:c>
      <x:c r="K139" s="14" t="n">
        <x:v>50</x:v>
      </x:c>
      <x:c r="L139" s="14" t="n">
        <x:v>30</x:v>
      </x:c>
      <x:c r="M139" s="14" t="n">
        <x:v>62</x:v>
      </x:c>
      <x:c r="N139" s="14" t="n">
        <x:f>ROUND(AVERAGE(H139:M139),0)</x:f>
        <x:v>48</x:v>
      </x:c>
      <x:c r="O139" s="12" t="str">
        <x:f>IF(N139&gt;=80,"Высокий",IF(N139&gt;=60,"Средний","Низкий"))</x:f>
        <x:v>Низкий</x:v>
      </x:c>
      <x:c r="P139" s="12" t="str">
        <x:f>IF(N139&gt;=80,"Низкий",IF(N139&gt;=60,"Средний","Высокий"))</x:f>
        <x:v>Высокий</x:v>
      </x:c>
      <x:c r="Q139" s="12" t="str">
        <x:f>IF(MIN(H139:M139)=H139,"Основы цифровой грамотности",IF(MIN(H139:M139)=I139,"Менеджер паролей и 2FA",IF(MIN(H139:M139)=J139,"Персональные данные без утечек",IF(MIN(H139:M139)=K139,"Антифишинг: распознавание угроз",IF(MIN(H139:M139)=L139,"Безопасные платежи и госуслуги","Безопасность в соцсетях")))))</x:f>
        <x:v>Безопасные платежи и госуслуги</x:v>
      </x:c>
      <x:c r="R139" s="12" t="str">
        <x:v>2026-05</x:v>
      </x:c>
      <x:c r="S139" s="12" t="str">
        <x:v>курс SafeNet</x:v>
      </x:c>
    </x:row>
    <x:row r="140">
      <x:c r="A140" s="12" t="n">
        <x:v>139</x:v>
      </x:c>
      <x:c r="B140" s="12" t="str">
        <x:v>Свердловская область</x:v>
      </x:c>
      <x:c r="C140" s="12" t="str">
        <x:v>крупный город</x:v>
      </x:c>
      <x:c r="D140" s="12" t="str">
        <x:v>18-24</x:v>
      </x:c>
      <x:c r="E140" s="12" t="str">
        <x:v>Женский</x:v>
      </x:c>
      <x:c r="F140" s="12" t="str">
        <x:v>среднее специальное</x:v>
      </x:c>
      <x:c r="G140" s="12" t="str">
        <x:v>постоянный</x:v>
      </x:c>
      <x:c r="H140" s="14" t="n">
        <x:v>79</x:v>
      </x:c>
      <x:c r="I140" s="14" t="n">
        <x:v>83</x:v>
      </x:c>
      <x:c r="J140" s="14" t="n">
        <x:v>88</x:v>
      </x:c>
      <x:c r="K140" s="14" t="n">
        <x:v>94</x:v>
      </x:c>
      <x:c r="L140" s="14" t="n">
        <x:v>86</x:v>
      </x:c>
      <x:c r="M140" s="14" t="n">
        <x:v>67</x:v>
      </x:c>
      <x:c r="N140" s="14" t="n">
        <x:f>ROUND(AVERAGE(H140:M140),0)</x:f>
        <x:v>83</x:v>
      </x:c>
      <x:c r="O140" s="12" t="str">
        <x:f>IF(N140&gt;=80,"Высокий",IF(N140&gt;=60,"Средний","Низкий"))</x:f>
        <x:v>Высокий</x:v>
      </x:c>
      <x:c r="P140" s="12" t="str">
        <x:f>IF(N140&gt;=80,"Низкий",IF(N140&gt;=60,"Средний","Высокий"))</x:f>
        <x:v>Низкий</x:v>
      </x:c>
      <x:c r="Q140" s="12" t="str">
        <x:f>IF(MIN(H140:M140)=H140,"Основы цифровой грамотности",IF(MIN(H140:M140)=I140,"Менеджер паролей и 2FA",IF(MIN(H140:M140)=J140,"Персональные данные без утечек",IF(MIN(H140:M140)=K140,"Антифишинг: распознавание угроз",IF(MIN(H140:M140)=L140,"Безопасные платежи и госуслуги","Безопасность в соцсетях")))))</x:f>
        <x:v>Безопасность в соцсетях</x:v>
      </x:c>
      <x:c r="R140" s="12" t="str">
        <x:v>2026-05</x:v>
      </x:c>
      <x:c r="S140" s="12" t="str">
        <x:v>курс SafeNet</x:v>
      </x:c>
    </x:row>
    <x:row r="141">
      <x:c r="A141" s="12" t="n">
        <x:v>140</x:v>
      </x:c>
      <x:c r="B141" s="12" t="str">
        <x:v>Башкортостан</x:v>
      </x:c>
      <x:c r="C141" s="12" t="str">
        <x:v>крупный город</x:v>
      </x:c>
      <x:c r="D141" s="12" t="str">
        <x:v>25-34</x:v>
      </x:c>
      <x:c r="E141" s="12" t="str">
        <x:v>Мужской</x:v>
      </x:c>
      <x:c r="F141" s="12" t="str">
        <x:v>высшее</x:v>
      </x:c>
      <x:c r="G141" s="12" t="str">
        <x:v>постоянный</x:v>
      </x:c>
      <x:c r="H141" s="14" t="n">
        <x:v>84</x:v>
      </x:c>
      <x:c r="I141" s="14" t="n">
        <x:v>82</x:v>
      </x:c>
      <x:c r="J141" s="14" t="n">
        <x:v>75</x:v>
      </x:c>
      <x:c r="K141" s="14" t="n">
        <x:v>82</x:v>
      </x:c>
      <x:c r="L141" s="14" t="n">
        <x:v>79</x:v>
      </x:c>
      <x:c r="M141" s="14" t="n">
        <x:v>83</x:v>
      </x:c>
      <x:c r="N141" s="14" t="n">
        <x:f>ROUND(AVERAGE(H141:M141),0)</x:f>
        <x:v>81</x:v>
      </x:c>
      <x:c r="O141" s="12" t="str">
        <x:f>IF(N141&gt;=80,"Высокий",IF(N141&gt;=60,"Средний","Низкий"))</x:f>
        <x:v>Высокий</x:v>
      </x:c>
      <x:c r="P141" s="12" t="str">
        <x:f>IF(N141&gt;=80,"Низкий",IF(N141&gt;=60,"Средний","Высокий"))</x:f>
        <x:v>Низкий</x:v>
      </x:c>
      <x:c r="Q141" s="12" t="str">
        <x:f>IF(MIN(H141:M141)=H141,"Основы цифровой грамотности",IF(MIN(H141:M141)=I141,"Менеджер паролей и 2FA",IF(MIN(H141:M141)=J141,"Персональные данные без утечек",IF(MIN(H141:M141)=K141,"Антифишинг: распознавание угроз",IF(MIN(H141:M141)=L141,"Безопасные платежи и госуслуги","Безопасность в соцсетях")))))</x:f>
        <x:v>Персональные данные без утечек</x:v>
      </x:c>
      <x:c r="R141" s="12" t="str">
        <x:v>2026-03</x:v>
      </x:c>
      <x:c r="S141" s="12" t="str">
        <x:v>онлайн-анкета</x:v>
      </x:c>
    </x:row>
    <x:row r="142">
      <x:c r="A142" s="12" t="n">
        <x:v>141</x:v>
      </x:c>
      <x:c r="B142" s="12" t="str">
        <x:v>Свердловская область</x:v>
      </x:c>
      <x:c r="C142" s="12" t="str">
        <x:v>малый город</x:v>
      </x:c>
      <x:c r="D142" s="12" t="str">
        <x:v>35-44</x:v>
      </x:c>
      <x:c r="E142" s="12" t="str">
        <x:v>Мужской</x:v>
      </x:c>
      <x:c r="F142" s="12" t="str">
        <x:v>среднее</x:v>
      </x:c>
      <x:c r="G142" s="12" t="str">
        <x:v>постоянный</x:v>
      </x:c>
      <x:c r="H142" s="14" t="n">
        <x:v>75</x:v>
      </x:c>
      <x:c r="I142" s="14" t="n">
        <x:v>70</x:v>
      </x:c>
      <x:c r="J142" s="14" t="n">
        <x:v>55</x:v>
      </x:c>
      <x:c r="K142" s="14" t="n">
        <x:v>69</x:v>
      </x:c>
      <x:c r="L142" s="14" t="n">
        <x:v>78</x:v>
      </x:c>
      <x:c r="M142" s="14" t="n">
        <x:v>53</x:v>
      </x:c>
      <x:c r="N142" s="14" t="n">
        <x:f>ROUND(AVERAGE(H142:M142),0)</x:f>
        <x:v>67</x:v>
      </x:c>
      <x:c r="O142" s="12" t="str">
        <x:f>IF(N142&gt;=80,"Высокий",IF(N142&gt;=60,"Средний","Низкий"))</x:f>
        <x:v>Средний</x:v>
      </x:c>
      <x:c r="P142" s="12" t="str">
        <x:f>IF(N142&gt;=80,"Низкий",IF(N142&gt;=60,"Средний","Высокий"))</x:f>
        <x:v>Средний</x:v>
      </x:c>
      <x:c r="Q142" s="12" t="str">
        <x:f>IF(MIN(H142:M142)=H142,"Основы цифровой грамотности",IF(MIN(H142:M142)=I142,"Менеджер паролей и 2FA",IF(MIN(H142:M142)=J142,"Персональные данные без утечек",IF(MIN(H142:M142)=K142,"Антифишинг: распознавание угроз",IF(MIN(H142:M142)=L142,"Безопасные платежи и госуслуги","Безопасность в соцсетях")))))</x:f>
        <x:v>Безопасность в соцсетях</x:v>
      </x:c>
      <x:c r="R142" s="12" t="str">
        <x:v>2026-06</x:v>
      </x:c>
      <x:c r="S142" s="12" t="str">
        <x:v>школьный модуль</x:v>
      </x:c>
    </x:row>
    <x:row r="143">
      <x:c r="A143" s="12" t="n">
        <x:v>142</x:v>
      </x:c>
      <x:c r="B143" s="12" t="str">
        <x:v>Краснодарский край</x:v>
      </x:c>
      <x:c r="C143" s="12" t="str">
        <x:v>крупный город</x:v>
      </x:c>
      <x:c r="D143" s="12" t="str">
        <x:v>35-44</x:v>
      </x:c>
      <x:c r="E143" s="12" t="str">
        <x:v>Женский</x:v>
      </x:c>
      <x:c r="F143" s="12" t="str">
        <x:v>среднее специальное</x:v>
      </x:c>
      <x:c r="G143" s="12" t="str">
        <x:v>постоянный</x:v>
      </x:c>
      <x:c r="H143" s="14" t="n">
        <x:v>83</x:v>
      </x:c>
      <x:c r="I143" s="14" t="n">
        <x:v>83</x:v>
      </x:c>
      <x:c r="J143" s="14" t="n">
        <x:v>62</x:v>
      </x:c>
      <x:c r="K143" s="14" t="n">
        <x:v>61</x:v>
      </x:c>
      <x:c r="L143" s="14" t="n">
        <x:v>60</x:v>
      </x:c>
      <x:c r="M143" s="14" t="n">
        <x:v>65</x:v>
      </x:c>
      <x:c r="N143" s="14" t="n">
        <x:f>ROUND(AVERAGE(H143:M143),0)</x:f>
        <x:v>69</x:v>
      </x:c>
      <x:c r="O143" s="12" t="str">
        <x:f>IF(N143&gt;=80,"Высокий",IF(N143&gt;=60,"Средний","Низкий"))</x:f>
        <x:v>Средний</x:v>
      </x:c>
      <x:c r="P143" s="12" t="str">
        <x:f>IF(N143&gt;=80,"Низкий",IF(N143&gt;=60,"Средний","Высокий"))</x:f>
        <x:v>Средний</x:v>
      </x:c>
      <x:c r="Q143" s="12" t="str">
        <x:f>IF(MIN(H143:M143)=H143,"Основы цифровой грамотности",IF(MIN(H143:M143)=I143,"Менеджер паролей и 2FA",IF(MIN(H143:M143)=J143,"Персональные данные без утечек",IF(MIN(H143:M143)=K143,"Антифишинг: распознавание угроз",IF(MIN(H143:M143)=L143,"Безопасные платежи и госуслуги","Безопасность в соцсетях")))))</x:f>
        <x:v>Безопасные платежи и госуслуги</x:v>
      </x:c>
      <x:c r="R143" s="12" t="str">
        <x:v>2026-06</x:v>
      </x:c>
      <x:c r="S143" s="12" t="str">
        <x:v>онлайн-анкета</x:v>
      </x:c>
    </x:row>
    <x:row r="144">
      <x:c r="A144" s="12" t="n">
        <x:v>143</x:v>
      </x:c>
      <x:c r="B144" s="12" t="str">
        <x:v>Ростовская область</x:v>
      </x:c>
      <x:c r="C144" s="12" t="str">
        <x:v>малый город</x:v>
      </x:c>
      <x:c r="D144" s="12" t="str">
        <x:v>25-34</x:v>
      </x:c>
      <x:c r="E144" s="12" t="str">
        <x:v>Мужской</x:v>
      </x:c>
      <x:c r="F144" s="12" t="str">
        <x:v>обучающийся</x:v>
      </x:c>
      <x:c r="G144" s="12" t="str">
        <x:v>постоянный</x:v>
      </x:c>
      <x:c r="H144" s="14" t="n">
        <x:v>74</x:v>
      </x:c>
      <x:c r="I144" s="14" t="n">
        <x:v>71</x:v>
      </x:c>
      <x:c r="J144" s="14" t="n">
        <x:v>62</x:v>
      </x:c>
      <x:c r="K144" s="14" t="n">
        <x:v>66</x:v>
      </x:c>
      <x:c r="L144" s="14" t="n">
        <x:v>69</x:v>
      </x:c>
      <x:c r="M144" s="14" t="n">
        <x:v>68</x:v>
      </x:c>
      <x:c r="N144" s="14" t="n">
        <x:f>ROUND(AVERAGE(H144:M144),0)</x:f>
        <x:v>68</x:v>
      </x:c>
      <x:c r="O144" s="12" t="str">
        <x:f>IF(N144&gt;=80,"Высокий",IF(N144&gt;=60,"Средний","Низкий"))</x:f>
        <x:v>Средний</x:v>
      </x:c>
      <x:c r="P144" s="12" t="str">
        <x:f>IF(N144&gt;=80,"Низкий",IF(N144&gt;=60,"Средний","Высокий"))</x:f>
        <x:v>Средний</x:v>
      </x:c>
      <x:c r="Q144" s="12" t="str">
        <x:f>IF(MIN(H144:M144)=H144,"Основы цифровой грамотности",IF(MIN(H144:M144)=I144,"Менеджер паролей и 2FA",IF(MIN(H144:M144)=J144,"Персональные данные без утечек",IF(MIN(H144:M144)=K144,"Антифишинг: распознавание угроз",IF(MIN(H144:M144)=L144,"Безопасные платежи и госуслуги","Безопасность в соцсетях")))))</x:f>
        <x:v>Персональные данные без утечек</x:v>
      </x:c>
      <x:c r="R144" s="12" t="str">
        <x:v>2026-01</x:v>
      </x:c>
      <x:c r="S144" s="12" t="str">
        <x:v>опрос в центре</x:v>
      </x:c>
    </x:row>
    <x:row r="145">
      <x:c r="A145" s="12" t="n">
        <x:v>144</x:v>
      </x:c>
      <x:c r="B145" s="12" t="str">
        <x:v>Приморский край</x:v>
      </x:c>
      <x:c r="C145" s="12" t="str">
        <x:v>крупный город</x:v>
      </x:c>
      <x:c r="D145" s="12" t="str">
        <x:v>35-44</x:v>
      </x:c>
      <x:c r="E145" s="12" t="str">
        <x:v>Мужской</x:v>
      </x:c>
      <x:c r="F145" s="12" t="str">
        <x:v>среднее</x:v>
      </x:c>
      <x:c r="G145" s="12" t="str">
        <x:v>постоянный</x:v>
      </x:c>
      <x:c r="H145" s="14" t="n">
        <x:v>78</x:v>
      </x:c>
      <x:c r="I145" s="14" t="n">
        <x:v>59</x:v>
      </x:c>
      <x:c r="J145" s="14" t="n">
        <x:v>59</x:v>
      </x:c>
      <x:c r="K145" s="14" t="n">
        <x:v>66</x:v>
      </x:c>
      <x:c r="L145" s="14" t="n">
        <x:v>81</x:v>
      </x:c>
      <x:c r="M145" s="14" t="n">
        <x:v>72</x:v>
      </x:c>
      <x:c r="N145" s="14" t="n">
        <x:f>ROUND(AVERAGE(H145:M145),0)</x:f>
        <x:v>69</x:v>
      </x:c>
      <x:c r="O145" s="12" t="str">
        <x:f>IF(N145&gt;=80,"Высокий",IF(N145&gt;=60,"Средний","Низкий"))</x:f>
        <x:v>Средний</x:v>
      </x:c>
      <x:c r="P145" s="12" t="str">
        <x:f>IF(N145&gt;=80,"Низкий",IF(N145&gt;=60,"Средний","Высокий"))</x:f>
        <x:v>Средний</x:v>
      </x:c>
      <x:c r="Q145" s="12" t="str">
        <x:f>IF(MIN(H145:M145)=H145,"Основы цифровой грамотности",IF(MIN(H145:M145)=I145,"Менеджер паролей и 2FA",IF(MIN(H145:M145)=J145,"Персональные данные без утечек",IF(MIN(H145:M145)=K145,"Антифишинг: распознавание угроз",IF(MIN(H145:M145)=L145,"Безопасные платежи и госуслуги","Безопасность в соцсетях")))))</x:f>
        <x:v>Менеджер паролей и 2FA</x:v>
      </x:c>
      <x:c r="R145" s="12" t="str">
        <x:v>2026-04</x:v>
      </x:c>
      <x:c r="S145" s="12" t="str">
        <x:v>школьный модуль</x:v>
      </x:c>
    </x:row>
    <x:row r="146">
      <x:c r="A146" s="12" t="n">
        <x:v>145</x:v>
      </x:c>
      <x:c r="B146" s="12" t="str">
        <x:v>Москва</x:v>
      </x:c>
      <x:c r="C146" s="12" t="str">
        <x:v>малый город</x:v>
      </x:c>
      <x:c r="D146" s="12" t="str">
        <x:v>35-44</x:v>
      </x:c>
      <x:c r="E146" s="12" t="str">
        <x:v>Женский</x:v>
      </x:c>
      <x:c r="F146" s="12" t="str">
        <x:v>высшее</x:v>
      </x:c>
      <x:c r="G146" s="12" t="str">
        <x:v>постоянный</x:v>
      </x:c>
      <x:c r="H146" s="14" t="n">
        <x:v>67</x:v>
      </x:c>
      <x:c r="I146" s="14" t="n">
        <x:v>67</x:v>
      </x:c>
      <x:c r="J146" s="14" t="n">
        <x:v>88</x:v>
      </x:c>
      <x:c r="K146" s="14" t="n">
        <x:v>61</x:v>
      </x:c>
      <x:c r="L146" s="14" t="n">
        <x:v>87</x:v>
      </x:c>
      <x:c r="M146" s="14" t="n">
        <x:v>73</x:v>
      </x:c>
      <x:c r="N146" s="14" t="n">
        <x:f>ROUND(AVERAGE(H146:M146),0)</x:f>
        <x:v>74</x:v>
      </x:c>
      <x:c r="O146" s="12" t="str">
        <x:f>IF(N146&gt;=80,"Высокий",IF(N146&gt;=60,"Средний","Низкий"))</x:f>
        <x:v>Средний</x:v>
      </x:c>
      <x:c r="P146" s="12" t="str">
        <x:f>IF(N146&gt;=80,"Низкий",IF(N146&gt;=60,"Средний","Высокий"))</x:f>
        <x:v>Средний</x:v>
      </x:c>
      <x:c r="Q146" s="12" t="str">
        <x:f>IF(MIN(H146:M146)=H146,"Основы цифровой грамотности",IF(MIN(H146:M146)=I146,"Менеджер паролей и 2FA",IF(MIN(H146:M146)=J146,"Персональные данные без утечек",IF(MIN(H146:M146)=K146,"Антифишинг: распознавание угроз",IF(MIN(H146:M146)=L146,"Безопасные платежи и госуслуги","Безопасность в соцсетях")))))</x:f>
        <x:v>Антифишинг: распознавание угроз</x:v>
      </x:c>
      <x:c r="R146" s="12" t="str">
        <x:v>2026-04</x:v>
      </x:c>
      <x:c r="S146" s="12" t="str">
        <x:v>опрос в центре</x:v>
      </x:c>
    </x:row>
    <x:row r="147">
      <x:c r="A147" s="12" t="n">
        <x:v>146</x:v>
      </x:c>
      <x:c r="B147" s="12" t="str">
        <x:v>Татарстан</x:v>
      </x:c>
      <x:c r="C147" s="12" t="str">
        <x:v>село</x:v>
      </x:c>
      <x:c r="D147" s="12" t="str">
        <x:v>45-60</x:v>
      </x:c>
      <x:c r="E147" s="12" t="str">
        <x:v>Женский</x:v>
      </x:c>
      <x:c r="F147" s="12" t="str">
        <x:v>высшее</x:v>
      </x:c>
      <x:c r="G147" s="12" t="str">
        <x:v>постоянный</x:v>
      </x:c>
      <x:c r="H147" s="14" t="n">
        <x:v>27</x:v>
      </x:c>
      <x:c r="I147" s="14" t="n">
        <x:v>65</x:v>
      </x:c>
      <x:c r="J147" s="14" t="n">
        <x:v>36</x:v>
      </x:c>
      <x:c r="K147" s="14" t="n">
        <x:v>62</x:v>
      </x:c>
      <x:c r="L147" s="14" t="n">
        <x:v>60</x:v>
      </x:c>
      <x:c r="M147" s="14" t="n">
        <x:v>44</x:v>
      </x:c>
      <x:c r="N147" s="14" t="n">
        <x:f>ROUND(AVERAGE(H147:M147),0)</x:f>
        <x:v>49</x:v>
      </x:c>
      <x:c r="O147" s="12" t="str">
        <x:f>IF(N147&gt;=80,"Высокий",IF(N147&gt;=60,"Средний","Низкий"))</x:f>
        <x:v>Низкий</x:v>
      </x:c>
      <x:c r="P147" s="12" t="str">
        <x:f>IF(N147&gt;=80,"Низкий",IF(N147&gt;=60,"Средний","Высокий"))</x:f>
        <x:v>Высокий</x:v>
      </x:c>
      <x:c r="Q147" s="12" t="str">
        <x:f>IF(MIN(H147:M147)=H147,"Основы цифровой грамотности",IF(MIN(H147:M147)=I147,"Менеджер паролей и 2FA",IF(MIN(H147:M147)=J147,"Персональные данные без утечек",IF(MIN(H147:M147)=K147,"Антифишинг: распознавание угроз",IF(MIN(H147:M147)=L147,"Безопасные платежи и госуслуги","Безопасность в соцсетях")))))</x:f>
        <x:v>Основы цифровой грамотности</x:v>
      </x:c>
      <x:c r="R147" s="12" t="str">
        <x:v>2026-01</x:v>
      </x:c>
      <x:c r="S147" s="12" t="str">
        <x:v>опрос в центре</x:v>
      </x:c>
    </x:row>
    <x:row r="148">
      <x:c r="A148" s="12" t="n">
        <x:v>147</x:v>
      </x:c>
      <x:c r="B148" s="12" t="str">
        <x:v>Ростовская область</x:v>
      </x:c>
      <x:c r="C148" s="12" t="str">
        <x:v>крупный город</x:v>
      </x:c>
      <x:c r="D148" s="12" t="str">
        <x:v>25-34</x:v>
      </x:c>
      <x:c r="E148" s="12" t="str">
        <x:v>Мужской</x:v>
      </x:c>
      <x:c r="F148" s="12" t="str">
        <x:v>среднее специальное</x:v>
      </x:c>
      <x:c r="G148" s="12" t="str">
        <x:v>ограниченный</x:v>
      </x:c>
      <x:c r="H148" s="14" t="n">
        <x:v>82</x:v>
      </x:c>
      <x:c r="I148" s="14" t="n">
        <x:v>54</x:v>
      </x:c>
      <x:c r="J148" s="14" t="n">
        <x:v>80</x:v>
      </x:c>
      <x:c r="K148" s="14" t="n">
        <x:v>64</x:v>
      </x:c>
      <x:c r="L148" s="14" t="n">
        <x:v>68</x:v>
      </x:c>
      <x:c r="M148" s="14" t="n">
        <x:v>57</x:v>
      </x:c>
      <x:c r="N148" s="14" t="n">
        <x:f>ROUND(AVERAGE(H148:M148),0)</x:f>
        <x:v>68</x:v>
      </x:c>
      <x:c r="O148" s="12" t="str">
        <x:f>IF(N148&gt;=80,"Высокий",IF(N148&gt;=60,"Средний","Низкий"))</x:f>
        <x:v>Средний</x:v>
      </x:c>
      <x:c r="P148" s="12" t="str">
        <x:f>IF(N148&gt;=80,"Низкий",IF(N148&gt;=60,"Средний","Высокий"))</x:f>
        <x:v>Средний</x:v>
      </x:c>
      <x:c r="Q148" s="12" t="str">
        <x:f>IF(MIN(H148:M148)=H148,"Основы цифровой грамотности",IF(MIN(H148:M148)=I148,"Менеджер паролей и 2FA",IF(MIN(H148:M148)=J148,"Персональные данные без утечек",IF(MIN(H148:M148)=K148,"Антифишинг: распознавание угроз",IF(MIN(H148:M148)=L148,"Безопасные платежи и госуслуги","Безопасность в соцсетях")))))</x:f>
        <x:v>Менеджер паролей и 2FA</x:v>
      </x:c>
      <x:c r="R148" s="12" t="str">
        <x:v>2026-02</x:v>
      </x:c>
      <x:c r="S148" s="12" t="str">
        <x:v>курс SafeNet</x:v>
      </x:c>
    </x:row>
    <x:row r="149">
      <x:c r="A149" s="12" t="n">
        <x:v>148</x:v>
      </x:c>
      <x:c r="B149" s="12" t="str">
        <x:v>Краснодарский край</x:v>
      </x:c>
      <x:c r="C149" s="12" t="str">
        <x:v>крупный город</x:v>
      </x:c>
      <x:c r="D149" s="12" t="str">
        <x:v>18-24</x:v>
      </x:c>
      <x:c r="E149" s="12" t="str">
        <x:v>Женский</x:v>
      </x:c>
      <x:c r="F149" s="12" t="str">
        <x:v>среднее специальное</x:v>
      </x:c>
      <x:c r="G149" s="12" t="str">
        <x:v>нестабильный</x:v>
      </x:c>
      <x:c r="H149" s="14" t="n">
        <x:v>81</x:v>
      </x:c>
      <x:c r="I149" s="14" t="n">
        <x:v>73</x:v>
      </x:c>
      <x:c r="J149" s="14" t="n">
        <x:v>70</x:v>
      </x:c>
      <x:c r="K149" s="14" t="n">
        <x:v>62</x:v>
      </x:c>
      <x:c r="L149" s="14" t="n">
        <x:v>97</x:v>
      </x:c>
      <x:c r="M149" s="14" t="n">
        <x:v>67</x:v>
      </x:c>
      <x:c r="N149" s="14" t="n">
        <x:f>ROUND(AVERAGE(H149:M149),0)</x:f>
        <x:v>75</x:v>
      </x:c>
      <x:c r="O149" s="12" t="str">
        <x:f>IF(N149&gt;=80,"Высокий",IF(N149&gt;=60,"Средний","Низкий"))</x:f>
        <x:v>Средний</x:v>
      </x:c>
      <x:c r="P149" s="12" t="str">
        <x:f>IF(N149&gt;=80,"Низкий",IF(N149&gt;=60,"Средний","Высокий"))</x:f>
        <x:v>Средний</x:v>
      </x:c>
      <x:c r="Q149" s="12" t="str">
        <x:f>IF(MIN(H149:M149)=H149,"Основы цифровой грамотности",IF(MIN(H149:M149)=I149,"Менеджер паролей и 2FA",IF(MIN(H149:M149)=J149,"Персональные данные без утечек",IF(MIN(H149:M149)=K149,"Антифишинг: распознавание угроз",IF(MIN(H149:M149)=L149,"Безопасные платежи и госуслуги","Безопасность в соцсетях")))))</x:f>
        <x:v>Антифишинг: распознавание угроз</x:v>
      </x:c>
      <x:c r="R149" s="12" t="str">
        <x:v>2026-01</x:v>
      </x:c>
      <x:c r="S149" s="12" t="str">
        <x:v>онлайн-анкета</x:v>
      </x:c>
    </x:row>
    <x:row r="150">
      <x:c r="A150" s="12" t="n">
        <x:v>149</x:v>
      </x:c>
      <x:c r="B150" s="12" t="str">
        <x:v>Пермский край</x:v>
      </x:c>
      <x:c r="C150" s="12" t="str">
        <x:v>малый город</x:v>
      </x:c>
      <x:c r="D150" s="12" t="str">
        <x:v>14-17</x:v>
      </x:c>
      <x:c r="E150" s="12" t="str">
        <x:v>Женский</x:v>
      </x:c>
      <x:c r="F150" s="12" t="str">
        <x:v>среднее специальное</x:v>
      </x:c>
      <x:c r="G150" s="12" t="str">
        <x:v>постоянный</x:v>
      </x:c>
      <x:c r="H150" s="14" t="n">
        <x:v>91</x:v>
      </x:c>
      <x:c r="I150" s="14" t="n">
        <x:v>75</x:v>
      </x:c>
      <x:c r="J150" s="14" t="n">
        <x:v>65</x:v>
      </x:c>
      <x:c r="K150" s="14" t="n">
        <x:v>72</x:v>
      </x:c>
      <x:c r="L150" s="14" t="n">
        <x:v>76</x:v>
      </x:c>
      <x:c r="M150" s="14" t="n">
        <x:v>89</x:v>
      </x:c>
      <x:c r="N150" s="14" t="n">
        <x:f>ROUND(AVERAGE(H150:M150),0)</x:f>
        <x:v>78</x:v>
      </x:c>
      <x:c r="O150" s="12" t="str">
        <x:f>IF(N150&gt;=80,"Высокий",IF(N150&gt;=60,"Средний","Низкий"))</x:f>
        <x:v>Средний</x:v>
      </x:c>
      <x:c r="P150" s="12" t="str">
        <x:f>IF(N150&gt;=80,"Низкий",IF(N150&gt;=60,"Средний","Высокий"))</x:f>
        <x:v>Средний</x:v>
      </x:c>
      <x:c r="Q150" s="12" t="str">
        <x:f>IF(MIN(H150:M150)=H150,"Основы цифровой грамотности",IF(MIN(H150:M150)=I150,"Менеджер паролей и 2FA",IF(MIN(H150:M150)=J150,"Персональные данные без утечек",IF(MIN(H150:M150)=K150,"Антифишинг: распознавание угроз",IF(MIN(H150:M150)=L150,"Безопасные платежи и госуслуги","Безопасность в соцсетях")))))</x:f>
        <x:v>Персональные данные без утечек</x:v>
      </x:c>
      <x:c r="R150" s="12" t="str">
        <x:v>2026-05</x:v>
      </x:c>
      <x:c r="S150" s="12" t="str">
        <x:v>школьный модуль</x:v>
      </x:c>
    </x:row>
    <x:row r="151">
      <x:c r="A151" s="12" t="n">
        <x:v>150</x:v>
      </x:c>
      <x:c r="B151" s="12" t="str">
        <x:v>Новосибирская область</x:v>
      </x:c>
      <x:c r="C151" s="12" t="str">
        <x:v>малый город</x:v>
      </x:c>
      <x:c r="D151" s="12" t="str">
        <x:v>45-60</x:v>
      </x:c>
      <x:c r="E151" s="12" t="str">
        <x:v>Женский</x:v>
      </x:c>
      <x:c r="F151" s="12" t="str">
        <x:v>обучающийся</x:v>
      </x:c>
      <x:c r="G151" s="12" t="str">
        <x:v>постоянный</x:v>
      </x:c>
      <x:c r="H151" s="14" t="n">
        <x:v>49</x:v>
      </x:c>
      <x:c r="I151" s="14" t="n">
        <x:v>47</x:v>
      </x:c>
      <x:c r="J151" s="14" t="n">
        <x:v>53</x:v>
      </x:c>
      <x:c r="K151" s="14" t="n">
        <x:v>62</x:v>
      </x:c>
      <x:c r="L151" s="14" t="n">
        <x:v>67</x:v>
      </x:c>
      <x:c r="M151" s="14" t="n">
        <x:v>67</x:v>
      </x:c>
      <x:c r="N151" s="14" t="n">
        <x:f>ROUND(AVERAGE(H151:M151),0)</x:f>
        <x:v>58</x:v>
      </x:c>
      <x:c r="O151" s="12" t="str">
        <x:f>IF(N151&gt;=80,"Высокий",IF(N151&gt;=60,"Средний","Низкий"))</x:f>
        <x:v>Низкий</x:v>
      </x:c>
      <x:c r="P151" s="12" t="str">
        <x:f>IF(N151&gt;=80,"Низкий",IF(N151&gt;=60,"Средний","Высокий"))</x:f>
        <x:v>Высокий</x:v>
      </x:c>
      <x:c r="Q151" s="12" t="str">
        <x:f>IF(MIN(H151:M151)=H151,"Основы цифровой грамотности",IF(MIN(H151:M151)=I151,"Менеджер паролей и 2FA",IF(MIN(H151:M151)=J151,"Персональные данные без утечек",IF(MIN(H151:M151)=K151,"Антифишинг: распознавание угроз",IF(MIN(H151:M151)=L151,"Безопасные платежи и госуслуги","Безопасность в соцсетях")))))</x:f>
        <x:v>Менеджер паролей и 2FA</x:v>
      </x:c>
      <x:c r="R151" s="12" t="str">
        <x:v>2026-03</x:v>
      </x:c>
      <x:c r="S151" s="12" t="str">
        <x:v>школьный модуль</x:v>
      </x:c>
    </x:row>
    <x:row r="152">
      <x:c r="A152" s="12" t="n">
        <x:v>151</x:v>
      </x:c>
      <x:c r="B152" s="12" t="str">
        <x:v>Москва</x:v>
      </x:c>
      <x:c r="C152" s="12" t="str">
        <x:v>малый город</x:v>
      </x:c>
      <x:c r="D152" s="12" t="str">
        <x:v>25-34</x:v>
      </x:c>
      <x:c r="E152" s="12" t="str">
        <x:v>Мужской</x:v>
      </x:c>
      <x:c r="F152" s="12" t="str">
        <x:v>высшее</x:v>
      </x:c>
      <x:c r="G152" s="12" t="str">
        <x:v>постоянный</x:v>
      </x:c>
      <x:c r="H152" s="14" t="n">
        <x:v>84</x:v>
      </x:c>
      <x:c r="I152" s="14" t="n">
        <x:v>85</x:v>
      </x:c>
      <x:c r="J152" s="14" t="n">
        <x:v>70</x:v>
      </x:c>
      <x:c r="K152" s="14" t="n">
        <x:v>69</x:v>
      </x:c>
      <x:c r="L152" s="14" t="n">
        <x:v>66</x:v>
      </x:c>
      <x:c r="M152" s="14" t="n">
        <x:v>83</x:v>
      </x:c>
      <x:c r="N152" s="14" t="n">
        <x:f>ROUND(AVERAGE(H152:M152),0)</x:f>
        <x:v>76</x:v>
      </x:c>
      <x:c r="O152" s="12" t="str">
        <x:f>IF(N152&gt;=80,"Высокий",IF(N152&gt;=60,"Средний","Низкий"))</x:f>
        <x:v>Средний</x:v>
      </x:c>
      <x:c r="P152" s="12" t="str">
        <x:f>IF(N152&gt;=80,"Низкий",IF(N152&gt;=60,"Средний","Высокий"))</x:f>
        <x:v>Средний</x:v>
      </x:c>
      <x:c r="Q152" s="12" t="str">
        <x:f>IF(MIN(H152:M152)=H152,"Основы цифровой грамотности",IF(MIN(H152:M152)=I152,"Менеджер паролей и 2FA",IF(MIN(H152:M152)=J152,"Персональные данные без утечек",IF(MIN(H152:M152)=K152,"Антифишинг: распознавание угроз",IF(MIN(H152:M152)=L152,"Безопасные платежи и госуслуги","Безопасность в соцсетях")))))</x:f>
        <x:v>Безопасные платежи и госуслуги</x:v>
      </x:c>
      <x:c r="R152" s="12" t="str">
        <x:v>2026-06</x:v>
      </x:c>
      <x:c r="S152" s="12" t="str">
        <x:v>курс SafeNet</x:v>
      </x:c>
    </x:row>
    <x:row r="153">
      <x:c r="A153" s="12" t="n">
        <x:v>152</x:v>
      </x:c>
      <x:c r="B153" s="12" t="str">
        <x:v>Башкортостан</x:v>
      </x:c>
      <x:c r="C153" s="12" t="str">
        <x:v>крупный город</x:v>
      </x:c>
      <x:c r="D153" s="12" t="str">
        <x:v>18-24</x:v>
      </x:c>
      <x:c r="E153" s="12" t="str">
        <x:v>Мужской</x:v>
      </x:c>
      <x:c r="F153" s="12" t="str">
        <x:v>обучающийся</x:v>
      </x:c>
      <x:c r="G153" s="12" t="str">
        <x:v>постоянный</x:v>
      </x:c>
      <x:c r="H153" s="14" t="n">
        <x:v>67</x:v>
      </x:c>
      <x:c r="I153" s="14" t="n">
        <x:v>84</x:v>
      </x:c>
      <x:c r="J153" s="14" t="n">
        <x:v>77</x:v>
      </x:c>
      <x:c r="K153" s="14" t="n">
        <x:v>94</x:v>
      </x:c>
      <x:c r="L153" s="14" t="n">
        <x:v>91</x:v>
      </x:c>
      <x:c r="M153" s="14" t="n">
        <x:v>59</x:v>
      </x:c>
      <x:c r="N153" s="14" t="n">
        <x:f>ROUND(AVERAGE(H153:M153),0)</x:f>
        <x:v>79</x:v>
      </x:c>
      <x:c r="O153" s="12" t="str">
        <x:f>IF(N153&gt;=80,"Высокий",IF(N153&gt;=60,"Средний","Низкий"))</x:f>
        <x:v>Средний</x:v>
      </x:c>
      <x:c r="P153" s="12" t="str">
        <x:f>IF(N153&gt;=80,"Низкий",IF(N153&gt;=60,"Средний","Высокий"))</x:f>
        <x:v>Средний</x:v>
      </x:c>
      <x:c r="Q153" s="12" t="str">
        <x:f>IF(MIN(H153:M153)=H153,"Основы цифровой грамотности",IF(MIN(H153:M153)=I153,"Менеджер паролей и 2FA",IF(MIN(H153:M153)=J153,"Персональные данные без утечек",IF(MIN(H153:M153)=K153,"Антифишинг: распознавание угроз",IF(MIN(H153:M153)=L153,"Безопасные платежи и госуслуги","Безопасность в соцсетях")))))</x:f>
        <x:v>Безопасность в соцсетях</x:v>
      </x:c>
      <x:c r="R153" s="12" t="str">
        <x:v>2026-05</x:v>
      </x:c>
      <x:c r="S153" s="12" t="str">
        <x:v>опрос в центре</x:v>
      </x:c>
    </x:row>
    <x:row r="154">
      <x:c r="A154" s="12" t="n">
        <x:v>153</x:v>
      </x:c>
      <x:c r="B154" s="12" t="str">
        <x:v>Башкортостан</x:v>
      </x:c>
      <x:c r="C154" s="12" t="str">
        <x:v>крупный город</x:v>
      </x:c>
      <x:c r="D154" s="12" t="str">
        <x:v>18-24</x:v>
      </x:c>
      <x:c r="E154" s="12" t="str">
        <x:v>Женский</x:v>
      </x:c>
      <x:c r="F154" s="12" t="str">
        <x:v>среднее</x:v>
      </x:c>
      <x:c r="G154" s="12" t="str">
        <x:v>постоянный</x:v>
      </x:c>
      <x:c r="H154" s="14" t="n">
        <x:v>100</x:v>
      </x:c>
      <x:c r="I154" s="14" t="n">
        <x:v>72</x:v>
      </x:c>
      <x:c r="J154" s="14" t="n">
        <x:v>95</x:v>
      </x:c>
      <x:c r="K154" s="14" t="n">
        <x:v>88</x:v>
      </x:c>
      <x:c r="L154" s="14" t="n">
        <x:v>86</x:v>
      </x:c>
      <x:c r="M154" s="14" t="n">
        <x:v>87</x:v>
      </x:c>
      <x:c r="N154" s="14" t="n">
        <x:f>ROUND(AVERAGE(H154:M154),0)</x:f>
        <x:v>88</x:v>
      </x:c>
      <x:c r="O154" s="12" t="str">
        <x:f>IF(N154&gt;=80,"Высокий",IF(N154&gt;=60,"Средний","Низкий"))</x:f>
        <x:v>Высокий</x:v>
      </x:c>
      <x:c r="P154" s="12" t="str">
        <x:f>IF(N154&gt;=80,"Низкий",IF(N154&gt;=60,"Средний","Высокий"))</x:f>
        <x:v>Низкий</x:v>
      </x:c>
      <x:c r="Q154" s="12" t="str">
        <x:f>IF(MIN(H154:M154)=H154,"Основы цифровой грамотности",IF(MIN(H154:M154)=I154,"Менеджер паролей и 2FA",IF(MIN(H154:M154)=J154,"Персональные данные без утечек",IF(MIN(H154:M154)=K154,"Антифишинг: распознавание угроз",IF(MIN(H154:M154)=L154,"Безопасные платежи и госуслуги","Безопасность в соцсетях")))))</x:f>
        <x:v>Менеджер паролей и 2FA</x:v>
      </x:c>
      <x:c r="R154" s="12" t="str">
        <x:v>2026-02</x:v>
      </x:c>
      <x:c r="S154" s="12" t="str">
        <x:v>опрос в центре</x:v>
      </x:c>
    </x:row>
    <x:row r="155">
      <x:c r="A155" s="12" t="n">
        <x:v>154</x:v>
      </x:c>
      <x:c r="B155" s="12" t="str">
        <x:v>Самарская область</x:v>
      </x:c>
      <x:c r="C155" s="12" t="str">
        <x:v>село</x:v>
      </x:c>
      <x:c r="D155" s="12" t="str">
        <x:v>18-24</x:v>
      </x:c>
      <x:c r="E155" s="12" t="str">
        <x:v>Женский</x:v>
      </x:c>
      <x:c r="F155" s="12" t="str">
        <x:v>среднее специальное</x:v>
      </x:c>
      <x:c r="G155" s="12" t="str">
        <x:v>постоянный</x:v>
      </x:c>
      <x:c r="H155" s="14" t="n">
        <x:v>81</x:v>
      </x:c>
      <x:c r="I155" s="14" t="n">
        <x:v>66</x:v>
      </x:c>
      <x:c r="J155" s="14" t="n">
        <x:v>77</x:v>
      </x:c>
      <x:c r="K155" s="14" t="n">
        <x:v>83</x:v>
      </x:c>
      <x:c r="L155" s="14" t="n">
        <x:v>72</x:v>
      </x:c>
      <x:c r="M155" s="14" t="n">
        <x:v>52</x:v>
      </x:c>
      <x:c r="N155" s="14" t="n">
        <x:f>ROUND(AVERAGE(H155:M155),0)</x:f>
        <x:v>72</x:v>
      </x:c>
      <x:c r="O155" s="12" t="str">
        <x:f>IF(N155&gt;=80,"Высокий",IF(N155&gt;=60,"Средний","Низкий"))</x:f>
        <x:v>Средний</x:v>
      </x:c>
      <x:c r="P155" s="12" t="str">
        <x:f>IF(N155&gt;=80,"Низкий",IF(N155&gt;=60,"Средний","Высокий"))</x:f>
        <x:v>Средний</x:v>
      </x:c>
      <x:c r="Q155" s="12" t="str">
        <x:f>IF(MIN(H155:M155)=H155,"Основы цифровой грамотности",IF(MIN(H155:M155)=I155,"Менеджер паролей и 2FA",IF(MIN(H155:M155)=J155,"Персональные данные без утечек",IF(MIN(H155:M155)=K155,"Антифишинг: распознавание угроз",IF(MIN(H155:M155)=L155,"Безопасные платежи и госуслуги","Безопасность в соцсетях")))))</x:f>
        <x:v>Безопасность в соцсетях</x:v>
      </x:c>
      <x:c r="R155" s="12" t="str">
        <x:v>2026-04</x:v>
      </x:c>
      <x:c r="S155" s="12" t="str">
        <x:v>опрос в центре</x:v>
      </x:c>
    </x:row>
    <x:row r="156">
      <x:c r="A156" s="12" t="n">
        <x:v>155</x:v>
      </x:c>
      <x:c r="B156" s="12" t="str">
        <x:v>Ростовская область</x:v>
      </x:c>
      <x:c r="C156" s="12" t="str">
        <x:v>крупный город</x:v>
      </x:c>
      <x:c r="D156" s="12" t="str">
        <x:v>25-34</x:v>
      </x:c>
      <x:c r="E156" s="12" t="str">
        <x:v>Мужской</x:v>
      </x:c>
      <x:c r="F156" s="12" t="str">
        <x:v>высшее</x:v>
      </x:c>
      <x:c r="G156" s="12" t="str">
        <x:v>постоянный</x:v>
      </x:c>
      <x:c r="H156" s="14" t="n">
        <x:v>77</x:v>
      </x:c>
      <x:c r="I156" s="14" t="n">
        <x:v>70</x:v>
      </x:c>
      <x:c r="J156" s="14" t="n">
        <x:v>65</x:v>
      </x:c>
      <x:c r="K156" s="14" t="n">
        <x:v>91</x:v>
      </x:c>
      <x:c r="L156" s="14" t="n">
        <x:v>61</x:v>
      </x:c>
      <x:c r="M156" s="14" t="n">
        <x:v>80</x:v>
      </x:c>
      <x:c r="N156" s="14" t="n">
        <x:f>ROUND(AVERAGE(H156:M156),0)</x:f>
        <x:v>74</x:v>
      </x:c>
      <x:c r="O156" s="12" t="str">
        <x:f>IF(N156&gt;=80,"Высокий",IF(N156&gt;=60,"Средний","Низкий"))</x:f>
        <x:v>Средний</x:v>
      </x:c>
      <x:c r="P156" s="12" t="str">
        <x:f>IF(N156&gt;=80,"Низкий",IF(N156&gt;=60,"Средний","Высокий"))</x:f>
        <x:v>Средний</x:v>
      </x:c>
      <x:c r="Q156" s="12" t="str">
        <x:f>IF(MIN(H156:M156)=H156,"Основы цифровой грамотности",IF(MIN(H156:M156)=I156,"Менеджер паролей и 2FA",IF(MIN(H156:M156)=J156,"Персональные данные без утечек",IF(MIN(H156:M156)=K156,"Антифишинг: распознавание угроз",IF(MIN(H156:M156)=L156,"Безопасные платежи и госуслуги","Безопасность в соцсетях")))))</x:f>
        <x:v>Безопасные платежи и госуслуги</x:v>
      </x:c>
      <x:c r="R156" s="12" t="str">
        <x:v>2026-02</x:v>
      </x:c>
      <x:c r="S156" s="12" t="str">
        <x:v>школьный модуль</x:v>
      </x:c>
    </x:row>
    <x:row r="157">
      <x:c r="A157" s="12" t="n">
        <x:v>156</x:v>
      </x:c>
      <x:c r="B157" s="12" t="str">
        <x:v>Краснодарский край</x:v>
      </x:c>
      <x:c r="C157" s="12" t="str">
        <x:v>малый город</x:v>
      </x:c>
      <x:c r="D157" s="12" t="str">
        <x:v>25-34</x:v>
      </x:c>
      <x:c r="E157" s="12" t="str">
        <x:v>Мужской</x:v>
      </x:c>
      <x:c r="F157" s="12" t="str">
        <x:v>среднее специальное</x:v>
      </x:c>
      <x:c r="G157" s="12" t="str">
        <x:v>постоянный</x:v>
      </x:c>
      <x:c r="H157" s="14" t="n">
        <x:v>82</x:v>
      </x:c>
      <x:c r="I157" s="14" t="n">
        <x:v>78</x:v>
      </x:c>
      <x:c r="J157" s="14" t="n">
        <x:v>85</x:v>
      </x:c>
      <x:c r="K157" s="14" t="n">
        <x:v>65</x:v>
      </x:c>
      <x:c r="L157" s="14" t="n">
        <x:v>69</x:v>
      </x:c>
      <x:c r="M157" s="14" t="n">
        <x:v>74</x:v>
      </x:c>
      <x:c r="N157" s="14" t="n">
        <x:f>ROUND(AVERAGE(H157:M157),0)</x:f>
        <x:v>76</x:v>
      </x:c>
      <x:c r="O157" s="12" t="str">
        <x:f>IF(N157&gt;=80,"Высокий",IF(N157&gt;=60,"Средний","Низкий"))</x:f>
        <x:v>Средний</x:v>
      </x:c>
      <x:c r="P157" s="12" t="str">
        <x:f>IF(N157&gt;=80,"Низкий",IF(N157&gt;=60,"Средний","Высокий"))</x:f>
        <x:v>Средний</x:v>
      </x:c>
      <x:c r="Q157" s="12" t="str">
        <x:f>IF(MIN(H157:M157)=H157,"Основы цифровой грамотности",IF(MIN(H157:M157)=I157,"Менеджер паролей и 2FA",IF(MIN(H157:M157)=J157,"Персональные данные без утечек",IF(MIN(H157:M157)=K157,"Антифишинг: распознавание угроз",IF(MIN(H157:M157)=L157,"Безопасные платежи и госуслуги","Безопасность в соцсетях")))))</x:f>
        <x:v>Антифишинг: распознавание угроз</x:v>
      </x:c>
      <x:c r="R157" s="12" t="str">
        <x:v>2026-04</x:v>
      </x:c>
      <x:c r="S157" s="12" t="str">
        <x:v>опрос в центре</x:v>
      </x:c>
    </x:row>
    <x:row r="158">
      <x:c r="A158" s="12" t="n">
        <x:v>157</x:v>
      </x:c>
      <x:c r="B158" s="12" t="str">
        <x:v>Самарская область</x:v>
      </x:c>
      <x:c r="C158" s="12" t="str">
        <x:v>село</x:v>
      </x:c>
      <x:c r="D158" s="12" t="str">
        <x:v>25-34</x:v>
      </x:c>
      <x:c r="E158" s="12" t="str">
        <x:v>Мужской</x:v>
      </x:c>
      <x:c r="F158" s="12" t="str">
        <x:v>среднее специальное</x:v>
      </x:c>
      <x:c r="G158" s="12" t="str">
        <x:v>постоянный</x:v>
      </x:c>
      <x:c r="H158" s="14" t="n">
        <x:v>72</x:v>
      </x:c>
      <x:c r="I158" s="14" t="n">
        <x:v>54</x:v>
      </x:c>
      <x:c r="J158" s="14" t="n">
        <x:v>64</x:v>
      </x:c>
      <x:c r="K158" s="14" t="n">
        <x:v>48</x:v>
      </x:c>
      <x:c r="L158" s="14" t="n">
        <x:v>52</x:v>
      </x:c>
      <x:c r="M158" s="14" t="n">
        <x:v>69</x:v>
      </x:c>
      <x:c r="N158" s="14" t="n">
        <x:f>ROUND(AVERAGE(H158:M158),0)</x:f>
        <x:v>60</x:v>
      </x:c>
      <x:c r="O158" s="12" t="str">
        <x:f>IF(N158&gt;=80,"Высокий",IF(N158&gt;=60,"Средний","Низкий"))</x:f>
        <x:v>Средний</x:v>
      </x:c>
      <x:c r="P158" s="12" t="str">
        <x:f>IF(N158&gt;=80,"Низкий",IF(N158&gt;=60,"Средний","Высокий"))</x:f>
        <x:v>Средний</x:v>
      </x:c>
      <x:c r="Q158" s="12" t="str">
        <x:f>IF(MIN(H158:M158)=H158,"Основы цифровой грамотности",IF(MIN(H158:M158)=I158,"Менеджер паролей и 2FA",IF(MIN(H158:M158)=J158,"Персональные данные без утечек",IF(MIN(H158:M158)=K158,"Антифишинг: распознавание угроз",IF(MIN(H158:M158)=L158,"Безопасные платежи и госуслуги","Безопасность в соцсетях")))))</x:f>
        <x:v>Антифишинг: распознавание угроз</x:v>
      </x:c>
      <x:c r="R158" s="12" t="str">
        <x:v>2026-02</x:v>
      </x:c>
      <x:c r="S158" s="12" t="str">
        <x:v>курс SafeNet</x:v>
      </x:c>
    </x:row>
    <x:row r="159">
      <x:c r="A159" s="12" t="n">
        <x:v>158</x:v>
      </x:c>
      <x:c r="B159" s="12" t="str">
        <x:v>Татарстан</x:v>
      </x:c>
      <x:c r="C159" s="12" t="str">
        <x:v>крупный город</x:v>
      </x:c>
      <x:c r="D159" s="12" t="str">
        <x:v>45-60</x:v>
      </x:c>
      <x:c r="E159" s="12" t="str">
        <x:v>Мужской</x:v>
      </x:c>
      <x:c r="F159" s="12" t="str">
        <x:v>среднее специальное</x:v>
      </x:c>
      <x:c r="G159" s="12" t="str">
        <x:v>постоянный</x:v>
      </x:c>
      <x:c r="H159" s="14" t="n">
        <x:v>68</x:v>
      </x:c>
      <x:c r="I159" s="14" t="n">
        <x:v>62</x:v>
      </x:c>
      <x:c r="J159" s="14" t="n">
        <x:v>76</x:v>
      </x:c>
      <x:c r="K159" s="14" t="n">
        <x:v>39</x:v>
      </x:c>
      <x:c r="L159" s="14" t="n">
        <x:v>55</x:v>
      </x:c>
      <x:c r="M159" s="14" t="n">
        <x:v>45</x:v>
      </x:c>
      <x:c r="N159" s="14" t="n">
        <x:f>ROUND(AVERAGE(H159:M159),0)</x:f>
        <x:v>58</x:v>
      </x:c>
      <x:c r="O159" s="12" t="str">
        <x:f>IF(N159&gt;=80,"Высокий",IF(N159&gt;=60,"Средний","Низкий"))</x:f>
        <x:v>Низкий</x:v>
      </x:c>
      <x:c r="P159" s="12" t="str">
        <x:f>IF(N159&gt;=80,"Низкий",IF(N159&gt;=60,"Средний","Высокий"))</x:f>
        <x:v>Высокий</x:v>
      </x:c>
      <x:c r="Q159" s="12" t="str">
        <x:f>IF(MIN(H159:M159)=H159,"Основы цифровой грамотности",IF(MIN(H159:M159)=I159,"Менеджер паролей и 2FA",IF(MIN(H159:M159)=J159,"Персональные данные без утечек",IF(MIN(H159:M159)=K159,"Антифишинг: распознавание угроз",IF(MIN(H159:M159)=L159,"Безопасные платежи и госуслуги","Безопасность в соцсетях")))))</x:f>
        <x:v>Антифишинг: распознавание угроз</x:v>
      </x:c>
      <x:c r="R159" s="12" t="str">
        <x:v>2026-06</x:v>
      </x:c>
      <x:c r="S159" s="12" t="str">
        <x:v>опрос в центре</x:v>
      </x:c>
    </x:row>
    <x:row r="160">
      <x:c r="A160" s="12" t="n">
        <x:v>159</x:v>
      </x:c>
      <x:c r="B160" s="12" t="str">
        <x:v>Санкт-Петербург</x:v>
      </x:c>
      <x:c r="C160" s="12" t="str">
        <x:v>крупный город</x:v>
      </x:c>
      <x:c r="D160" s="12" t="str">
        <x:v>35-44</x:v>
      </x:c>
      <x:c r="E160" s="12" t="str">
        <x:v>Женский</x:v>
      </x:c>
      <x:c r="F160" s="12" t="str">
        <x:v>обучающийся</x:v>
      </x:c>
      <x:c r="G160" s="12" t="str">
        <x:v>постоянный</x:v>
      </x:c>
      <x:c r="H160" s="14" t="n">
        <x:v>64</x:v>
      </x:c>
      <x:c r="I160" s="14" t="n">
        <x:v>79</x:v>
      </x:c>
      <x:c r="J160" s="14" t="n">
        <x:v>63</x:v>
      </x:c>
      <x:c r="K160" s="14" t="n">
        <x:v>55</x:v>
      </x:c>
      <x:c r="L160" s="14" t="n">
        <x:v>59</x:v>
      </x:c>
      <x:c r="M160" s="14" t="n">
        <x:v>69</x:v>
      </x:c>
      <x:c r="N160" s="14" t="n">
        <x:f>ROUND(AVERAGE(H160:M160),0)</x:f>
        <x:v>65</x:v>
      </x:c>
      <x:c r="O160" s="12" t="str">
        <x:f>IF(N160&gt;=80,"Высокий",IF(N160&gt;=60,"Средний","Низкий"))</x:f>
        <x:v>Средний</x:v>
      </x:c>
      <x:c r="P160" s="12" t="str">
        <x:f>IF(N160&gt;=80,"Низкий",IF(N160&gt;=60,"Средний","Высокий"))</x:f>
        <x:v>Средний</x:v>
      </x:c>
      <x:c r="Q160" s="12" t="str">
        <x:f>IF(MIN(H160:M160)=H160,"Основы цифровой грамотности",IF(MIN(H160:M160)=I160,"Менеджер паролей и 2FA",IF(MIN(H160:M160)=J160,"Персональные данные без утечек",IF(MIN(H160:M160)=K160,"Антифишинг: распознавание угроз",IF(MIN(H160:M160)=L160,"Безопасные платежи и госуслуги","Безопасность в соцсетях")))))</x:f>
        <x:v>Антифишинг: распознавание угроз</x:v>
      </x:c>
      <x:c r="R160" s="12" t="str">
        <x:v>2026-01</x:v>
      </x:c>
      <x:c r="S160" s="12" t="str">
        <x:v>онлайн-анкета</x:v>
      </x:c>
    </x:row>
    <x:row r="161">
      <x:c r="A161" s="12" t="n">
        <x:v>160</x:v>
      </x:c>
      <x:c r="B161" s="12" t="str">
        <x:v>Ростовская область</x:v>
      </x:c>
      <x:c r="C161" s="12" t="str">
        <x:v>крупный город</x:v>
      </x:c>
      <x:c r="D161" s="12" t="str">
        <x:v>35-44</x:v>
      </x:c>
      <x:c r="E161" s="12" t="str">
        <x:v>Женский</x:v>
      </x:c>
      <x:c r="F161" s="12" t="str">
        <x:v>среднее специальное</x:v>
      </x:c>
      <x:c r="G161" s="12" t="str">
        <x:v>постоянный</x:v>
      </x:c>
      <x:c r="H161" s="14" t="n">
        <x:v>59</x:v>
      </x:c>
      <x:c r="I161" s="14" t="n">
        <x:v>69</x:v>
      </x:c>
      <x:c r="J161" s="14" t="n">
        <x:v>49</x:v>
      </x:c>
      <x:c r="K161" s="14" t="n">
        <x:v>77</x:v>
      </x:c>
      <x:c r="L161" s="14" t="n">
        <x:v>81</x:v>
      </x:c>
      <x:c r="M161" s="14" t="n">
        <x:v>88</x:v>
      </x:c>
      <x:c r="N161" s="14" t="n">
        <x:f>ROUND(AVERAGE(H161:M161),0)</x:f>
        <x:v>71</x:v>
      </x:c>
      <x:c r="O161" s="12" t="str">
        <x:f>IF(N161&gt;=80,"Высокий",IF(N161&gt;=60,"Средний","Низкий"))</x:f>
        <x:v>Средний</x:v>
      </x:c>
      <x:c r="P161" s="12" t="str">
        <x:f>IF(N161&gt;=80,"Низкий",IF(N161&gt;=60,"Средний","Высокий"))</x:f>
        <x:v>Средний</x:v>
      </x:c>
      <x:c r="Q161" s="12" t="str">
        <x:f>IF(MIN(H161:M161)=H161,"Основы цифровой грамотности",IF(MIN(H161:M161)=I161,"Менеджер паролей и 2FA",IF(MIN(H161:M161)=J161,"Персональные данные без утечек",IF(MIN(H161:M161)=K161,"Антифишинг: распознавание угроз",IF(MIN(H161:M161)=L161,"Безопасные платежи и госуслуги","Безопасность в соцсетях")))))</x:f>
        <x:v>Персональные данные без утечек</x:v>
      </x:c>
      <x:c r="R161" s="12" t="str">
        <x:v>2026-02</x:v>
      </x:c>
      <x:c r="S161" s="12" t="str">
        <x:v>школьный модуль</x:v>
      </x:c>
    </x:row>
    <x:row r="162">
      <x:c r="A162" s="12" t="n">
        <x:v>161</x:v>
      </x:c>
      <x:c r="B162" s="12" t="str">
        <x:v>Краснодарский край</x:v>
      </x:c>
      <x:c r="C162" s="12" t="str">
        <x:v>крупный город</x:v>
      </x:c>
      <x:c r="D162" s="12" t="str">
        <x:v>18-24</x:v>
      </x:c>
      <x:c r="E162" s="12" t="str">
        <x:v>Женский</x:v>
      </x:c>
      <x:c r="F162" s="12" t="str">
        <x:v>среднее</x:v>
      </x:c>
      <x:c r="G162" s="12" t="str">
        <x:v>постоянный</x:v>
      </x:c>
      <x:c r="H162" s="14" t="n">
        <x:v>75</x:v>
      </x:c>
      <x:c r="I162" s="14" t="n">
        <x:v>88</x:v>
      </x:c>
      <x:c r="J162" s="14" t="n">
        <x:v>89</x:v>
      </x:c>
      <x:c r="K162" s="14" t="n">
        <x:v>79</x:v>
      </x:c>
      <x:c r="L162" s="14" t="n">
        <x:v>75</x:v>
      </x:c>
      <x:c r="M162" s="14" t="n">
        <x:v>62</x:v>
      </x:c>
      <x:c r="N162" s="14" t="n">
        <x:f>ROUND(AVERAGE(H162:M162),0)</x:f>
        <x:v>78</x:v>
      </x:c>
      <x:c r="O162" s="12" t="str">
        <x:f>IF(N162&gt;=80,"Высокий",IF(N162&gt;=60,"Средний","Низкий"))</x:f>
        <x:v>Средний</x:v>
      </x:c>
      <x:c r="P162" s="12" t="str">
        <x:f>IF(N162&gt;=80,"Низкий",IF(N162&gt;=60,"Средний","Высокий"))</x:f>
        <x:v>Средний</x:v>
      </x:c>
      <x:c r="Q162" s="12" t="str">
        <x:f>IF(MIN(H162:M162)=H162,"Основы цифровой грамотности",IF(MIN(H162:M162)=I162,"Менеджер паролей и 2FA",IF(MIN(H162:M162)=J162,"Персональные данные без утечек",IF(MIN(H162:M162)=K162,"Антифишинг: распознавание угроз",IF(MIN(H162:M162)=L162,"Безопасные платежи и госуслуги","Безопасность в соцсетях")))))</x:f>
        <x:v>Безопасность в соцсетях</x:v>
      </x:c>
      <x:c r="R162" s="12" t="str">
        <x:v>2026-04</x:v>
      </x:c>
      <x:c r="S162" s="12" t="str">
        <x:v>курс SafeNet</x:v>
      </x:c>
    </x:row>
    <x:row r="163">
      <x:c r="A163" s="12" t="n">
        <x:v>162</x:v>
      </x:c>
      <x:c r="B163" s="12" t="str">
        <x:v>Башкортостан</x:v>
      </x:c>
      <x:c r="C163" s="12" t="str">
        <x:v>крупный город</x:v>
      </x:c>
      <x:c r="D163" s="12" t="str">
        <x:v>25-34</x:v>
      </x:c>
      <x:c r="E163" s="12" t="str">
        <x:v>Женский</x:v>
      </x:c>
      <x:c r="F163" s="12" t="str">
        <x:v>среднее</x:v>
      </x:c>
      <x:c r="G163" s="12" t="str">
        <x:v>постоянный</x:v>
      </x:c>
      <x:c r="H163" s="14" t="n">
        <x:v>88</x:v>
      </x:c>
      <x:c r="I163" s="14" t="n">
        <x:v>87</x:v>
      </x:c>
      <x:c r="J163" s="14" t="n">
        <x:v>62</x:v>
      </x:c>
      <x:c r="K163" s="14" t="n">
        <x:v>82</x:v>
      </x:c>
      <x:c r="L163" s="14" t="n">
        <x:v>61</x:v>
      </x:c>
      <x:c r="M163" s="14" t="n">
        <x:v>68</x:v>
      </x:c>
      <x:c r="N163" s="14" t="n">
        <x:f>ROUND(AVERAGE(H163:M163),0)</x:f>
        <x:v>75</x:v>
      </x:c>
      <x:c r="O163" s="12" t="str">
        <x:f>IF(N163&gt;=80,"Высокий",IF(N163&gt;=60,"Средний","Низкий"))</x:f>
        <x:v>Средний</x:v>
      </x:c>
      <x:c r="P163" s="12" t="str">
        <x:f>IF(N163&gt;=80,"Низкий",IF(N163&gt;=60,"Средний","Высокий"))</x:f>
        <x:v>Средний</x:v>
      </x:c>
      <x:c r="Q163" s="12" t="str">
        <x:f>IF(MIN(H163:M163)=H163,"Основы цифровой грамотности",IF(MIN(H163:M163)=I163,"Менеджер паролей и 2FA",IF(MIN(H163:M163)=J163,"Персональные данные без утечек",IF(MIN(H163:M163)=K163,"Антифишинг: распознавание угроз",IF(MIN(H163:M163)=L163,"Безопасные платежи и госуслуги","Безопасность в соцсетях")))))</x:f>
        <x:v>Безопасные платежи и госуслуги</x:v>
      </x:c>
      <x:c r="R163" s="12" t="str">
        <x:v>2026-02</x:v>
      </x:c>
      <x:c r="S163" s="12" t="str">
        <x:v>опрос в центре</x:v>
      </x:c>
    </x:row>
    <x:row r="164">
      <x:c r="A164" s="12" t="n">
        <x:v>163</x:v>
      </x:c>
      <x:c r="B164" s="12" t="str">
        <x:v>Приморский край</x:v>
      </x:c>
      <x:c r="C164" s="12" t="str">
        <x:v>крупный город</x:v>
      </x:c>
      <x:c r="D164" s="12" t="str">
        <x:v>45-60</x:v>
      </x:c>
      <x:c r="E164" s="12" t="str">
        <x:v>Мужской</x:v>
      </x:c>
      <x:c r="F164" s="12" t="str">
        <x:v>среднее</x:v>
      </x:c>
      <x:c r="G164" s="12" t="str">
        <x:v>постоянный</x:v>
      </x:c>
      <x:c r="H164" s="14" t="n">
        <x:v>86</x:v>
      </x:c>
      <x:c r="I164" s="14" t="n">
        <x:v>71</x:v>
      </x:c>
      <x:c r="J164" s="14" t="n">
        <x:v>72</x:v>
      </x:c>
      <x:c r="K164" s="14" t="n">
        <x:v>51</x:v>
      </x:c>
      <x:c r="L164" s="14" t="n">
        <x:v>85</x:v>
      </x:c>
      <x:c r="M164" s="14" t="n">
        <x:v>65</x:v>
      </x:c>
      <x:c r="N164" s="14" t="n">
        <x:f>ROUND(AVERAGE(H164:M164),0)</x:f>
        <x:v>72</x:v>
      </x:c>
      <x:c r="O164" s="12" t="str">
        <x:f>IF(N164&gt;=80,"Высокий",IF(N164&gt;=60,"Средний","Низкий"))</x:f>
        <x:v>Средний</x:v>
      </x:c>
      <x:c r="P164" s="12" t="str">
        <x:f>IF(N164&gt;=80,"Низкий",IF(N164&gt;=60,"Средний","Высокий"))</x:f>
        <x:v>Средний</x:v>
      </x:c>
      <x:c r="Q164" s="12" t="str">
        <x:f>IF(MIN(H164:M164)=H164,"Основы цифровой грамотности",IF(MIN(H164:M164)=I164,"Менеджер паролей и 2FA",IF(MIN(H164:M164)=J164,"Персональные данные без утечек",IF(MIN(H164:M164)=K164,"Антифишинг: распознавание угроз",IF(MIN(H164:M164)=L164,"Безопасные платежи и госуслуги","Безопасность в соцсетях")))))</x:f>
        <x:v>Антифишинг: распознавание угроз</x:v>
      </x:c>
      <x:c r="R164" s="12" t="str">
        <x:v>2026-02</x:v>
      </x:c>
      <x:c r="S164" s="12" t="str">
        <x:v>опрос в центре</x:v>
      </x:c>
    </x:row>
    <x:row r="165">
      <x:c r="A165" s="12" t="n">
        <x:v>164</x:v>
      </x:c>
      <x:c r="B165" s="12" t="str">
        <x:v>Приморский край</x:v>
      </x:c>
      <x:c r="C165" s="12" t="str">
        <x:v>село</x:v>
      </x:c>
      <x:c r="D165" s="12" t="str">
        <x:v>45-60</x:v>
      </x:c>
      <x:c r="E165" s="12" t="str">
        <x:v>Женский</x:v>
      </x:c>
      <x:c r="F165" s="12" t="str">
        <x:v>среднее</x:v>
      </x:c>
      <x:c r="G165" s="12" t="str">
        <x:v>постоянный</x:v>
      </x:c>
      <x:c r="H165" s="14" t="n">
        <x:v>43</x:v>
      </x:c>
      <x:c r="I165" s="14" t="n">
        <x:v>45</x:v>
      </x:c>
      <x:c r="J165" s="14" t="n">
        <x:v>60</x:v>
      </x:c>
      <x:c r="K165" s="14" t="n">
        <x:v>36</x:v>
      </x:c>
      <x:c r="L165" s="14" t="n">
        <x:v>42</x:v>
      </x:c>
      <x:c r="M165" s="14" t="n">
        <x:v>47</x:v>
      </x:c>
      <x:c r="N165" s="14" t="n">
        <x:f>ROUND(AVERAGE(H165:M165),0)</x:f>
        <x:v>46</x:v>
      </x:c>
      <x:c r="O165" s="12" t="str">
        <x:f>IF(N165&gt;=80,"Высокий",IF(N165&gt;=60,"Средний","Низкий"))</x:f>
        <x:v>Низкий</x:v>
      </x:c>
      <x:c r="P165" s="12" t="str">
        <x:f>IF(N165&gt;=80,"Низкий",IF(N165&gt;=60,"Средний","Высокий"))</x:f>
        <x:v>Высокий</x:v>
      </x:c>
      <x:c r="Q165" s="12" t="str">
        <x:f>IF(MIN(H165:M165)=H165,"Основы цифровой грамотности",IF(MIN(H165:M165)=I165,"Менеджер паролей и 2FA",IF(MIN(H165:M165)=J165,"Персональные данные без утечек",IF(MIN(H165:M165)=K165,"Антифишинг: распознавание угроз",IF(MIN(H165:M165)=L165,"Безопасные платежи и госуслуги","Безопасность в соцсетях")))))</x:f>
        <x:v>Антифишинг: распознавание угроз</x:v>
      </x:c>
      <x:c r="R165" s="12" t="str">
        <x:v>2026-05</x:v>
      </x:c>
      <x:c r="S165" s="12" t="str">
        <x:v>школьный модуль</x:v>
      </x:c>
    </x:row>
    <x:row r="166">
      <x:c r="A166" s="12" t="n">
        <x:v>165</x:v>
      </x:c>
      <x:c r="B166" s="12" t="str">
        <x:v>Москва</x:v>
      </x:c>
      <x:c r="C166" s="12" t="str">
        <x:v>крупный город</x:v>
      </x:c>
      <x:c r="D166" s="12" t="str">
        <x:v>14-17</x:v>
      </x:c>
      <x:c r="E166" s="12" t="str">
        <x:v>Мужской</x:v>
      </x:c>
      <x:c r="F166" s="12" t="str">
        <x:v>обучающийся</x:v>
      </x:c>
      <x:c r="G166" s="12" t="str">
        <x:v>постоянный</x:v>
      </x:c>
      <x:c r="H166" s="14" t="n">
        <x:v>69</x:v>
      </x:c>
      <x:c r="I166" s="14" t="n">
        <x:v>67</x:v>
      </x:c>
      <x:c r="J166" s="14" t="n">
        <x:v>54</x:v>
      </x:c>
      <x:c r="K166" s="14" t="n">
        <x:v>58</x:v>
      </x:c>
      <x:c r="L166" s="14" t="n">
        <x:v>70</x:v>
      </x:c>
      <x:c r="M166" s="14" t="n">
        <x:v>87</x:v>
      </x:c>
      <x:c r="N166" s="14" t="n">
        <x:f>ROUND(AVERAGE(H166:M166),0)</x:f>
        <x:v>68</x:v>
      </x:c>
      <x:c r="O166" s="12" t="str">
        <x:f>IF(N166&gt;=80,"Высокий",IF(N166&gt;=60,"Средний","Низкий"))</x:f>
        <x:v>Средний</x:v>
      </x:c>
      <x:c r="P166" s="12" t="str">
        <x:f>IF(N166&gt;=80,"Низкий",IF(N166&gt;=60,"Средний","Высокий"))</x:f>
        <x:v>Средний</x:v>
      </x:c>
      <x:c r="Q166" s="12" t="str">
        <x:f>IF(MIN(H166:M166)=H166,"Основы цифровой грамотности",IF(MIN(H166:M166)=I166,"Менеджер паролей и 2FA",IF(MIN(H166:M166)=J166,"Персональные данные без утечек",IF(MIN(H166:M166)=K166,"Антифишинг: распознавание угроз",IF(MIN(H166:M166)=L166,"Безопасные платежи и госуслуги","Безопасность в соцсетях")))))</x:f>
        <x:v>Персональные данные без утечек</x:v>
      </x:c>
      <x:c r="R166" s="12" t="str">
        <x:v>2026-02</x:v>
      </x:c>
      <x:c r="S166" s="12" t="str">
        <x:v>школьный модуль</x:v>
      </x:c>
    </x:row>
    <x:row r="167">
      <x:c r="A167" s="12" t="n">
        <x:v>166</x:v>
      </x:c>
      <x:c r="B167" s="12" t="str">
        <x:v>Ростовская область</x:v>
      </x:c>
      <x:c r="C167" s="12" t="str">
        <x:v>крупный город</x:v>
      </x:c>
      <x:c r="D167" s="12" t="str">
        <x:v>60+</x:v>
      </x:c>
      <x:c r="E167" s="12" t="str">
        <x:v>Женский</x:v>
      </x:c>
      <x:c r="F167" s="12" t="str">
        <x:v>обучающийся</x:v>
      </x:c>
      <x:c r="G167" s="12" t="str">
        <x:v>постоянный</x:v>
      </x:c>
      <x:c r="H167" s="14" t="n">
        <x:v>53</x:v>
      </x:c>
      <x:c r="I167" s="14" t="n">
        <x:v>46</x:v>
      </x:c>
      <x:c r="J167" s="14" t="n">
        <x:v>38</x:v>
      </x:c>
      <x:c r="K167" s="14" t="n">
        <x:v>36</x:v>
      </x:c>
      <x:c r="L167" s="14" t="n">
        <x:v>51</x:v>
      </x:c>
      <x:c r="M167" s="14" t="n">
        <x:v>45</x:v>
      </x:c>
      <x:c r="N167" s="14" t="n">
        <x:f>ROUND(AVERAGE(H167:M167),0)</x:f>
        <x:v>45</x:v>
      </x:c>
      <x:c r="O167" s="12" t="str">
        <x:f>IF(N167&gt;=80,"Высокий",IF(N167&gt;=60,"Средний","Низкий"))</x:f>
        <x:v>Низкий</x:v>
      </x:c>
      <x:c r="P167" s="12" t="str">
        <x:f>IF(N167&gt;=80,"Низкий",IF(N167&gt;=60,"Средний","Высокий"))</x:f>
        <x:v>Высокий</x:v>
      </x:c>
      <x:c r="Q167" s="12" t="str">
        <x:f>IF(MIN(H167:M167)=H167,"Основы цифровой грамотности",IF(MIN(H167:M167)=I167,"Менеджер паролей и 2FA",IF(MIN(H167:M167)=J167,"Персональные данные без утечек",IF(MIN(H167:M167)=K167,"Антифишинг: распознавание угроз",IF(MIN(H167:M167)=L167,"Безопасные платежи и госуслуги","Безопасность в соцсетях")))))</x:f>
        <x:v>Антифишинг: распознавание угроз</x:v>
      </x:c>
      <x:c r="R167" s="12" t="str">
        <x:v>2026-06</x:v>
      </x:c>
      <x:c r="S167" s="12" t="str">
        <x:v>опрос в центре</x:v>
      </x:c>
    </x:row>
    <x:row r="168">
      <x:c r="A168" s="12" t="n">
        <x:v>167</x:v>
      </x:c>
      <x:c r="B168" s="12" t="str">
        <x:v>Приморский край</x:v>
      </x:c>
      <x:c r="C168" s="12" t="str">
        <x:v>крупный город</x:v>
      </x:c>
      <x:c r="D168" s="12" t="str">
        <x:v>25-34</x:v>
      </x:c>
      <x:c r="E168" s="12" t="str">
        <x:v>Мужской</x:v>
      </x:c>
      <x:c r="F168" s="12" t="str">
        <x:v>среднее</x:v>
      </x:c>
      <x:c r="G168" s="12" t="str">
        <x:v>постоянный</x:v>
      </x:c>
      <x:c r="H168" s="14" t="n">
        <x:v>92</x:v>
      </x:c>
      <x:c r="I168" s="14" t="n">
        <x:v>73</x:v>
      </x:c>
      <x:c r="J168" s="14" t="n">
        <x:v>78</x:v>
      </x:c>
      <x:c r="K168" s="14" t="n">
        <x:v>70</x:v>
      </x:c>
      <x:c r="L168" s="14" t="n">
        <x:v>88</x:v>
      </x:c>
      <x:c r="M168" s="14" t="n">
        <x:v>82</x:v>
      </x:c>
      <x:c r="N168" s="14" t="n">
        <x:f>ROUND(AVERAGE(H168:M168),0)</x:f>
        <x:v>81</x:v>
      </x:c>
      <x:c r="O168" s="12" t="str">
        <x:f>IF(N168&gt;=80,"Высокий",IF(N168&gt;=60,"Средний","Низкий"))</x:f>
        <x:v>Высокий</x:v>
      </x:c>
      <x:c r="P168" s="12" t="str">
        <x:f>IF(N168&gt;=80,"Низкий",IF(N168&gt;=60,"Средний","Высокий"))</x:f>
        <x:v>Низкий</x:v>
      </x:c>
      <x:c r="Q168" s="12" t="str">
        <x:f>IF(MIN(H168:M168)=H168,"Основы цифровой грамотности",IF(MIN(H168:M168)=I168,"Менеджер паролей и 2FA",IF(MIN(H168:M168)=J168,"Персональные данные без утечек",IF(MIN(H168:M168)=K168,"Антифишинг: распознавание угроз",IF(MIN(H168:M168)=L168,"Безопасные платежи и госуслуги","Безопасность в соцсетях")))))</x:f>
        <x:v>Антифишинг: распознавание угроз</x:v>
      </x:c>
      <x:c r="R168" s="12" t="str">
        <x:v>2026-01</x:v>
      </x:c>
      <x:c r="S168" s="12" t="str">
        <x:v>онлайн-анкета</x:v>
      </x:c>
    </x:row>
    <x:row r="169">
      <x:c r="A169" s="12" t="n">
        <x:v>168</x:v>
      </x:c>
      <x:c r="B169" s="12" t="str">
        <x:v>Краснодарский край</x:v>
      </x:c>
      <x:c r="C169" s="12" t="str">
        <x:v>малый город</x:v>
      </x:c>
      <x:c r="D169" s="12" t="str">
        <x:v>25-34</x:v>
      </x:c>
      <x:c r="E169" s="12" t="str">
        <x:v>Женский</x:v>
      </x:c>
      <x:c r="F169" s="12" t="str">
        <x:v>среднее специальное</x:v>
      </x:c>
      <x:c r="G169" s="12" t="str">
        <x:v>нестабильный</x:v>
      </x:c>
      <x:c r="H169" s="14" t="n">
        <x:v>73</x:v>
      </x:c>
      <x:c r="I169" s="14" t="n">
        <x:v>66</x:v>
      </x:c>
      <x:c r="J169" s="14" t="n">
        <x:v>53</x:v>
      </x:c>
      <x:c r="K169" s="14" t="n">
        <x:v>74</x:v>
      </x:c>
      <x:c r="L169" s="14" t="n">
        <x:v>67</x:v>
      </x:c>
      <x:c r="M169" s="14" t="n">
        <x:v>53</x:v>
      </x:c>
      <x:c r="N169" s="14" t="n">
        <x:f>ROUND(AVERAGE(H169:M169),0)</x:f>
        <x:v>64</x:v>
      </x:c>
      <x:c r="O169" s="12" t="str">
        <x:f>IF(N169&gt;=80,"Высокий",IF(N169&gt;=60,"Средний","Низкий"))</x:f>
        <x:v>Средний</x:v>
      </x:c>
      <x:c r="P169" s="12" t="str">
        <x:f>IF(N169&gt;=80,"Низкий",IF(N169&gt;=60,"Средний","Высокий"))</x:f>
        <x:v>Средний</x:v>
      </x:c>
      <x:c r="Q169" s="12" t="str">
        <x:f>IF(MIN(H169:M169)=H169,"Основы цифровой грамотности",IF(MIN(H169:M169)=I169,"Менеджер паролей и 2FA",IF(MIN(H169:M169)=J169,"Персональные данные без утечек",IF(MIN(H169:M169)=K169,"Антифишинг: распознавание угроз",IF(MIN(H169:M169)=L169,"Безопасные платежи и госуслуги","Безопасность в соцсетях")))))</x:f>
        <x:v>Персональные данные без утечек</x:v>
      </x:c>
      <x:c r="R169" s="12" t="str">
        <x:v>2026-06</x:v>
      </x:c>
      <x:c r="S169" s="12" t="str">
        <x:v>курс SafeNet</x:v>
      </x:c>
    </x:row>
    <x:row r="170">
      <x:c r="A170" s="12" t="n">
        <x:v>169</x:v>
      </x:c>
      <x:c r="B170" s="12" t="str">
        <x:v>Татарстан</x:v>
      </x:c>
      <x:c r="C170" s="12" t="str">
        <x:v>крупный город</x:v>
      </x:c>
      <x:c r="D170" s="12" t="str">
        <x:v>18-24</x:v>
      </x:c>
      <x:c r="E170" s="12" t="str">
        <x:v>Женский</x:v>
      </x:c>
      <x:c r="F170" s="12" t="str">
        <x:v>обучающийся</x:v>
      </x:c>
      <x:c r="G170" s="12" t="str">
        <x:v>постоянный</x:v>
      </x:c>
      <x:c r="H170" s="14" t="n">
        <x:v>96</x:v>
      </x:c>
      <x:c r="I170" s="14" t="n">
        <x:v>85</x:v>
      </x:c>
      <x:c r="J170" s="14" t="n">
        <x:v>72</x:v>
      </x:c>
      <x:c r="K170" s="14" t="n">
        <x:v>84</x:v>
      </x:c>
      <x:c r="L170" s="14" t="n">
        <x:v>90</x:v>
      </x:c>
      <x:c r="M170" s="14" t="n">
        <x:v>84</x:v>
      </x:c>
      <x:c r="N170" s="14" t="n">
        <x:f>ROUND(AVERAGE(H170:M170),0)</x:f>
        <x:v>85</x:v>
      </x:c>
      <x:c r="O170" s="12" t="str">
        <x:f>IF(N170&gt;=80,"Высокий",IF(N170&gt;=60,"Средний","Низкий"))</x:f>
        <x:v>Высокий</x:v>
      </x:c>
      <x:c r="P170" s="12" t="str">
        <x:f>IF(N170&gt;=80,"Низкий",IF(N170&gt;=60,"Средний","Высокий"))</x:f>
        <x:v>Низкий</x:v>
      </x:c>
      <x:c r="Q170" s="12" t="str">
        <x:f>IF(MIN(H170:M170)=H170,"Основы цифровой грамотности",IF(MIN(H170:M170)=I170,"Менеджер паролей и 2FA",IF(MIN(H170:M170)=J170,"Персональные данные без утечек",IF(MIN(H170:M170)=K170,"Антифишинг: распознавание угроз",IF(MIN(H170:M170)=L170,"Безопасные платежи и госуслуги","Безопасность в соцсетях")))))</x:f>
        <x:v>Персональные данные без утечек</x:v>
      </x:c>
      <x:c r="R170" s="12" t="str">
        <x:v>2026-05</x:v>
      </x:c>
      <x:c r="S170" s="12" t="str">
        <x:v>опрос в центре</x:v>
      </x:c>
    </x:row>
    <x:row r="171">
      <x:c r="A171" s="12" t="n">
        <x:v>170</x:v>
      </x:c>
      <x:c r="B171" s="12" t="str">
        <x:v>Самарская область</x:v>
      </x:c>
      <x:c r="C171" s="12" t="str">
        <x:v>крупный город</x:v>
      </x:c>
      <x:c r="D171" s="12" t="str">
        <x:v>18-24</x:v>
      </x:c>
      <x:c r="E171" s="12" t="str">
        <x:v>Женский</x:v>
      </x:c>
      <x:c r="F171" s="12" t="str">
        <x:v>высшее</x:v>
      </x:c>
      <x:c r="G171" s="12" t="str">
        <x:v>ограниченный</x:v>
      </x:c>
      <x:c r="H171" s="14" t="n">
        <x:v>70</x:v>
      </x:c>
      <x:c r="I171" s="14" t="n">
        <x:v>84</x:v>
      </x:c>
      <x:c r="J171" s="14" t="n">
        <x:v>76</x:v>
      </x:c>
      <x:c r="K171" s="14" t="n">
        <x:v>62</x:v>
      </x:c>
      <x:c r="L171" s="14" t="n">
        <x:v>65</x:v>
      </x:c>
      <x:c r="M171" s="14" t="n">
        <x:v>87</x:v>
      </x:c>
      <x:c r="N171" s="14" t="n">
        <x:f>ROUND(AVERAGE(H171:M171),0)</x:f>
        <x:v>74</x:v>
      </x:c>
      <x:c r="O171" s="12" t="str">
        <x:f>IF(N171&gt;=80,"Высокий",IF(N171&gt;=60,"Средний","Низкий"))</x:f>
        <x:v>Средний</x:v>
      </x:c>
      <x:c r="P171" s="12" t="str">
        <x:f>IF(N171&gt;=80,"Низкий",IF(N171&gt;=60,"Средний","Высокий"))</x:f>
        <x:v>Средний</x:v>
      </x:c>
      <x:c r="Q171" s="12" t="str">
        <x:f>IF(MIN(H171:M171)=H171,"Основы цифровой грамотности",IF(MIN(H171:M171)=I171,"Менеджер паролей и 2FA",IF(MIN(H171:M171)=J171,"Персональные данные без утечек",IF(MIN(H171:M171)=K171,"Антифишинг: распознавание угроз",IF(MIN(H171:M171)=L171,"Безопасные платежи и госуслуги","Безопасность в соцсетях")))))</x:f>
        <x:v>Антифишинг: распознавание угроз</x:v>
      </x:c>
      <x:c r="R171" s="12" t="str">
        <x:v>2026-03</x:v>
      </x:c>
      <x:c r="S171" s="12" t="str">
        <x:v>опрос в центре</x:v>
      </x:c>
    </x:row>
    <x:row r="172">
      <x:c r="A172" s="12" t="n">
        <x:v>171</x:v>
      </x:c>
      <x:c r="B172" s="12" t="str">
        <x:v>Самарская область</x:v>
      </x:c>
      <x:c r="C172" s="12" t="str">
        <x:v>село</x:v>
      </x:c>
      <x:c r="D172" s="12" t="str">
        <x:v>18-24</x:v>
      </x:c>
      <x:c r="E172" s="12" t="str">
        <x:v>Мужской</x:v>
      </x:c>
      <x:c r="F172" s="12" t="str">
        <x:v>высшее</x:v>
      </x:c>
      <x:c r="G172" s="12" t="str">
        <x:v>ограниченный</x:v>
      </x:c>
      <x:c r="H172" s="14" t="n">
        <x:v>62</x:v>
      </x:c>
      <x:c r="I172" s="14" t="n">
        <x:v>76</x:v>
      </x:c>
      <x:c r="J172" s="14" t="n">
        <x:v>49</x:v>
      </x:c>
      <x:c r="K172" s="14" t="n">
        <x:v>60</x:v>
      </x:c>
      <x:c r="L172" s="14" t="n">
        <x:v>63</x:v>
      </x:c>
      <x:c r="M172" s="14" t="n">
        <x:v>70</x:v>
      </x:c>
      <x:c r="N172" s="14" t="n">
        <x:f>ROUND(AVERAGE(H172:M172),0)</x:f>
        <x:v>63</x:v>
      </x:c>
      <x:c r="O172" s="12" t="str">
        <x:f>IF(N172&gt;=80,"Высокий",IF(N172&gt;=60,"Средний","Низкий"))</x:f>
        <x:v>Средний</x:v>
      </x:c>
      <x:c r="P172" s="12" t="str">
        <x:f>IF(N172&gt;=80,"Низкий",IF(N172&gt;=60,"Средний","Высокий"))</x:f>
        <x:v>Средний</x:v>
      </x:c>
      <x:c r="Q172" s="12" t="str">
        <x:f>IF(MIN(H172:M172)=H172,"Основы цифровой грамотности",IF(MIN(H172:M172)=I172,"Менеджер паролей и 2FA",IF(MIN(H172:M172)=J172,"Персональные данные без утечек",IF(MIN(H172:M172)=K172,"Антифишинг: распознавание угроз",IF(MIN(H172:M172)=L172,"Безопасные платежи и госуслуги","Безопасность в соцсетях")))))</x:f>
        <x:v>Персональные данные без утечек</x:v>
      </x:c>
      <x:c r="R172" s="12" t="str">
        <x:v>2026-01</x:v>
      </x:c>
      <x:c r="S172" s="12" t="str">
        <x:v>опрос в центре</x:v>
      </x:c>
    </x:row>
    <x:row r="173">
      <x:c r="A173" s="12" t="n">
        <x:v>172</x:v>
      </x:c>
      <x:c r="B173" s="12" t="str">
        <x:v>Пермский край</x:v>
      </x:c>
      <x:c r="C173" s="12" t="str">
        <x:v>крупный город</x:v>
      </x:c>
      <x:c r="D173" s="12" t="str">
        <x:v>60+</x:v>
      </x:c>
      <x:c r="E173" s="12" t="str">
        <x:v>Женский</x:v>
      </x:c>
      <x:c r="F173" s="12" t="str">
        <x:v>обучающийся</x:v>
      </x:c>
      <x:c r="G173" s="12" t="str">
        <x:v>постоянный</x:v>
      </x:c>
      <x:c r="H173" s="14" t="n">
        <x:v>71</x:v>
      </x:c>
      <x:c r="I173" s="14" t="n">
        <x:v>53</x:v>
      </x:c>
      <x:c r="J173" s="14" t="n">
        <x:v>57</x:v>
      </x:c>
      <x:c r="K173" s="14" t="n">
        <x:v>46</x:v>
      </x:c>
      <x:c r="L173" s="14" t="n">
        <x:v>58</x:v>
      </x:c>
      <x:c r="M173" s="14" t="n">
        <x:v>31</x:v>
      </x:c>
      <x:c r="N173" s="14" t="n">
        <x:f>ROUND(AVERAGE(H173:M173),0)</x:f>
        <x:v>53</x:v>
      </x:c>
      <x:c r="O173" s="12" t="str">
        <x:f>IF(N173&gt;=80,"Высокий",IF(N173&gt;=60,"Средний","Низкий"))</x:f>
        <x:v>Низкий</x:v>
      </x:c>
      <x:c r="P173" s="12" t="str">
        <x:f>IF(N173&gt;=80,"Низкий",IF(N173&gt;=60,"Средний","Высокий"))</x:f>
        <x:v>Высокий</x:v>
      </x:c>
      <x:c r="Q173" s="12" t="str">
        <x:f>IF(MIN(H173:M173)=H173,"Основы цифровой грамотности",IF(MIN(H173:M173)=I173,"Менеджер паролей и 2FA",IF(MIN(H173:M173)=J173,"Персональные данные без утечек",IF(MIN(H173:M173)=K173,"Антифишинг: распознавание угроз",IF(MIN(H173:M173)=L173,"Безопасные платежи и госуслуги","Безопасность в соцсетях")))))</x:f>
        <x:v>Безопасность в соцсетях</x:v>
      </x:c>
      <x:c r="R173" s="12" t="str">
        <x:v>2026-06</x:v>
      </x:c>
      <x:c r="S173" s="12" t="str">
        <x:v>курс SafeNet</x:v>
      </x:c>
    </x:row>
    <x:row r="174">
      <x:c r="A174" s="12" t="n">
        <x:v>173</x:v>
      </x:c>
      <x:c r="B174" s="12" t="str">
        <x:v>Татарстан</x:v>
      </x:c>
      <x:c r="C174" s="12" t="str">
        <x:v>крупный город</x:v>
      </x:c>
      <x:c r="D174" s="12" t="str">
        <x:v>35-44</x:v>
      </x:c>
      <x:c r="E174" s="12" t="str">
        <x:v>Мужской</x:v>
      </x:c>
      <x:c r="F174" s="12" t="str">
        <x:v>среднее</x:v>
      </x:c>
      <x:c r="G174" s="12" t="str">
        <x:v>постоянный</x:v>
      </x:c>
      <x:c r="H174" s="14" t="n">
        <x:v>70</x:v>
      </x:c>
      <x:c r="I174" s="14" t="n">
        <x:v>52</x:v>
      </x:c>
      <x:c r="J174" s="14" t="n">
        <x:v>97</x:v>
      </x:c>
      <x:c r="K174" s="14" t="n">
        <x:v>81</x:v>
      </x:c>
      <x:c r="L174" s="14" t="n">
        <x:v>61</x:v>
      </x:c>
      <x:c r="M174" s="14" t="n">
        <x:v>69</x:v>
      </x:c>
      <x:c r="N174" s="14" t="n">
        <x:f>ROUND(AVERAGE(H174:M174),0)</x:f>
        <x:v>72</x:v>
      </x:c>
      <x:c r="O174" s="12" t="str">
        <x:f>IF(N174&gt;=80,"Высокий",IF(N174&gt;=60,"Средний","Низкий"))</x:f>
        <x:v>Средний</x:v>
      </x:c>
      <x:c r="P174" s="12" t="str">
        <x:f>IF(N174&gt;=80,"Низкий",IF(N174&gt;=60,"Средний","Высокий"))</x:f>
        <x:v>Средний</x:v>
      </x:c>
      <x:c r="Q174" s="12" t="str">
        <x:f>IF(MIN(H174:M174)=H174,"Основы цифровой грамотности",IF(MIN(H174:M174)=I174,"Менеджер паролей и 2FA",IF(MIN(H174:M174)=J174,"Персональные данные без утечек",IF(MIN(H174:M174)=K174,"Антифишинг: распознавание угроз",IF(MIN(H174:M174)=L174,"Безопасные платежи и госуслуги","Безопасность в соцсетях")))))</x:f>
        <x:v>Менеджер паролей и 2FA</x:v>
      </x:c>
      <x:c r="R174" s="12" t="str">
        <x:v>2026-03</x:v>
      </x:c>
      <x:c r="S174" s="12" t="str">
        <x:v>онлайн-анкета</x:v>
      </x:c>
    </x:row>
    <x:row r="175">
      <x:c r="A175" s="12" t="n">
        <x:v>174</x:v>
      </x:c>
      <x:c r="B175" s="12" t="str">
        <x:v>Санкт-Петербург</x:v>
      </x:c>
      <x:c r="C175" s="12" t="str">
        <x:v>малый город</x:v>
      </x:c>
      <x:c r="D175" s="12" t="str">
        <x:v>45-60</x:v>
      </x:c>
      <x:c r="E175" s="12" t="str">
        <x:v>Мужской</x:v>
      </x:c>
      <x:c r="F175" s="12" t="str">
        <x:v>среднее</x:v>
      </x:c>
      <x:c r="G175" s="12" t="str">
        <x:v>постоянный</x:v>
      </x:c>
      <x:c r="H175" s="14" t="n">
        <x:v>59</x:v>
      </x:c>
      <x:c r="I175" s="14" t="n">
        <x:v>54</x:v>
      </x:c>
      <x:c r="J175" s="14" t="n">
        <x:v>72</x:v>
      </x:c>
      <x:c r="K175" s="14" t="n">
        <x:v>52</x:v>
      </x:c>
      <x:c r="L175" s="14" t="n">
        <x:v>45</x:v>
      </x:c>
      <x:c r="M175" s="14" t="n">
        <x:v>65</x:v>
      </x:c>
      <x:c r="N175" s="14" t="n">
        <x:f>ROUND(AVERAGE(H175:M175),0)</x:f>
        <x:v>58</x:v>
      </x:c>
      <x:c r="O175" s="12" t="str">
        <x:f>IF(N175&gt;=80,"Высокий",IF(N175&gt;=60,"Средний","Низкий"))</x:f>
        <x:v>Низкий</x:v>
      </x:c>
      <x:c r="P175" s="12" t="str">
        <x:f>IF(N175&gt;=80,"Низкий",IF(N175&gt;=60,"Средний","Высокий"))</x:f>
        <x:v>Высокий</x:v>
      </x:c>
      <x:c r="Q175" s="12" t="str">
        <x:f>IF(MIN(H175:M175)=H175,"Основы цифровой грамотности",IF(MIN(H175:M175)=I175,"Менеджер паролей и 2FA",IF(MIN(H175:M175)=J175,"Персональные данные без утечек",IF(MIN(H175:M175)=K175,"Антифишинг: распознавание угроз",IF(MIN(H175:M175)=L175,"Безопасные платежи и госуслуги","Безопасность в соцсетях")))))</x:f>
        <x:v>Безопасные платежи и госуслуги</x:v>
      </x:c>
      <x:c r="R175" s="12" t="str">
        <x:v>2026-01</x:v>
      </x:c>
      <x:c r="S175" s="12" t="str">
        <x:v>онлайн-анкета</x:v>
      </x:c>
    </x:row>
    <x:row r="176">
      <x:c r="A176" s="12" t="n">
        <x:v>175</x:v>
      </x:c>
      <x:c r="B176" s="12" t="str">
        <x:v>Свердловская область</x:v>
      </x:c>
      <x:c r="C176" s="12" t="str">
        <x:v>малый город</x:v>
      </x:c>
      <x:c r="D176" s="12" t="str">
        <x:v>18-24</x:v>
      </x:c>
      <x:c r="E176" s="12" t="str">
        <x:v>Женский</x:v>
      </x:c>
      <x:c r="F176" s="12" t="str">
        <x:v>высшее</x:v>
      </x:c>
      <x:c r="G176" s="12" t="str">
        <x:v>постоянный</x:v>
      </x:c>
      <x:c r="H176" s="14" t="n">
        <x:v>78</x:v>
      </x:c>
      <x:c r="I176" s="14" t="n">
        <x:v>69</x:v>
      </x:c>
      <x:c r="J176" s="14" t="n">
        <x:v>69</x:v>
      </x:c>
      <x:c r="K176" s="14" t="n">
        <x:v>82</x:v>
      </x:c>
      <x:c r="L176" s="14" t="n">
        <x:v>71</x:v>
      </x:c>
      <x:c r="M176" s="14" t="n">
        <x:v>61</x:v>
      </x:c>
      <x:c r="N176" s="14" t="n">
        <x:f>ROUND(AVERAGE(H176:M176),0)</x:f>
        <x:v>72</x:v>
      </x:c>
      <x:c r="O176" s="12" t="str">
        <x:f>IF(N176&gt;=80,"Высокий",IF(N176&gt;=60,"Средний","Низкий"))</x:f>
        <x:v>Средний</x:v>
      </x:c>
      <x:c r="P176" s="12" t="str">
        <x:f>IF(N176&gt;=80,"Низкий",IF(N176&gt;=60,"Средний","Высокий"))</x:f>
        <x:v>Средний</x:v>
      </x:c>
      <x:c r="Q176" s="12" t="str">
        <x:f>IF(MIN(H176:M176)=H176,"Основы цифровой грамотности",IF(MIN(H176:M176)=I176,"Менеджер паролей и 2FA",IF(MIN(H176:M176)=J176,"Персональные данные без утечек",IF(MIN(H176:M176)=K176,"Антифишинг: распознавание угроз",IF(MIN(H176:M176)=L176,"Безопасные платежи и госуслуги","Безопасность в соцсетях")))))</x:f>
        <x:v>Безопасность в соцсетях</x:v>
      </x:c>
      <x:c r="R176" s="12" t="str">
        <x:v>2026-01</x:v>
      </x:c>
      <x:c r="S176" s="12" t="str">
        <x:v>курс SafeNet</x:v>
      </x:c>
    </x:row>
    <x:row r="177">
      <x:c r="A177" s="12" t="n">
        <x:v>176</x:v>
      </x:c>
      <x:c r="B177" s="12" t="str">
        <x:v>Санкт-Петербург</x:v>
      </x:c>
      <x:c r="C177" s="12" t="str">
        <x:v>село</x:v>
      </x:c>
      <x:c r="D177" s="12" t="str">
        <x:v>18-24</x:v>
      </x:c>
      <x:c r="E177" s="12" t="str">
        <x:v>Мужской</x:v>
      </x:c>
      <x:c r="F177" s="12" t="str">
        <x:v>обучающийся</x:v>
      </x:c>
      <x:c r="G177" s="12" t="str">
        <x:v>постоянный</x:v>
      </x:c>
      <x:c r="H177" s="14" t="n">
        <x:v>83</x:v>
      </x:c>
      <x:c r="I177" s="14" t="n">
        <x:v>56</x:v>
      </x:c>
      <x:c r="J177" s="14" t="n">
        <x:v>66</x:v>
      </x:c>
      <x:c r="K177" s="14" t="n">
        <x:v>75</x:v>
      </x:c>
      <x:c r="L177" s="14" t="n">
        <x:v>75</x:v>
      </x:c>
      <x:c r="M177" s="14" t="n">
        <x:v>57</x:v>
      </x:c>
      <x:c r="N177" s="14" t="n">
        <x:f>ROUND(AVERAGE(H177:M177),0)</x:f>
        <x:v>69</x:v>
      </x:c>
      <x:c r="O177" s="12" t="str">
        <x:f>IF(N177&gt;=80,"Высокий",IF(N177&gt;=60,"Средний","Низкий"))</x:f>
        <x:v>Средний</x:v>
      </x:c>
      <x:c r="P177" s="12" t="str">
        <x:f>IF(N177&gt;=80,"Низкий",IF(N177&gt;=60,"Средний","Высокий"))</x:f>
        <x:v>Средний</x:v>
      </x:c>
      <x:c r="Q177" s="12" t="str">
        <x:f>IF(MIN(H177:M177)=H177,"Основы цифровой грамотности",IF(MIN(H177:M177)=I177,"Менеджер паролей и 2FA",IF(MIN(H177:M177)=J177,"Персональные данные без утечек",IF(MIN(H177:M177)=K177,"Антифишинг: распознавание угроз",IF(MIN(H177:M177)=L177,"Безопасные платежи и госуслуги","Безопасность в соцсетях")))))</x:f>
        <x:v>Менеджер паролей и 2FA</x:v>
      </x:c>
      <x:c r="R177" s="12" t="str">
        <x:v>2026-01</x:v>
      </x:c>
      <x:c r="S177" s="12" t="str">
        <x:v>курс SafeNet</x:v>
      </x:c>
    </x:row>
    <x:row r="178">
      <x:c r="A178" s="12" t="n">
        <x:v>177</x:v>
      </x:c>
      <x:c r="B178" s="12" t="str">
        <x:v>Приморский край</x:v>
      </x:c>
      <x:c r="C178" s="12" t="str">
        <x:v>крупный город</x:v>
      </x:c>
      <x:c r="D178" s="12" t="str">
        <x:v>35-44</x:v>
      </x:c>
      <x:c r="E178" s="12" t="str">
        <x:v>Женский</x:v>
      </x:c>
      <x:c r="F178" s="12" t="str">
        <x:v>среднее специальное</x:v>
      </x:c>
      <x:c r="G178" s="12" t="str">
        <x:v>постоянный</x:v>
      </x:c>
      <x:c r="H178" s="14" t="n">
        <x:v>76</x:v>
      </x:c>
      <x:c r="I178" s="14" t="n">
        <x:v>64</x:v>
      </x:c>
      <x:c r="J178" s="14" t="n">
        <x:v>78</x:v>
      </x:c>
      <x:c r="K178" s="14" t="n">
        <x:v>55</x:v>
      </x:c>
      <x:c r="L178" s="14" t="n">
        <x:v>68</x:v>
      </x:c>
      <x:c r="M178" s="14" t="n">
        <x:v>63</x:v>
      </x:c>
      <x:c r="N178" s="14" t="n">
        <x:f>ROUND(AVERAGE(H178:M178),0)</x:f>
        <x:v>67</x:v>
      </x:c>
      <x:c r="O178" s="12" t="str">
        <x:f>IF(N178&gt;=80,"Высокий",IF(N178&gt;=60,"Средний","Низкий"))</x:f>
        <x:v>Средний</x:v>
      </x:c>
      <x:c r="P178" s="12" t="str">
        <x:f>IF(N178&gt;=80,"Низкий",IF(N178&gt;=60,"Средний","Высокий"))</x:f>
        <x:v>Средний</x:v>
      </x:c>
      <x:c r="Q178" s="12" t="str">
        <x:f>IF(MIN(H178:M178)=H178,"Основы цифровой грамотности",IF(MIN(H178:M178)=I178,"Менеджер паролей и 2FA",IF(MIN(H178:M178)=J178,"Персональные данные без утечек",IF(MIN(H178:M178)=K178,"Антифишинг: распознавание угроз",IF(MIN(H178:M178)=L178,"Безопасные платежи и госуслуги","Безопасность в соцсетях")))))</x:f>
        <x:v>Антифишинг: распознавание угроз</x:v>
      </x:c>
      <x:c r="R178" s="12" t="str">
        <x:v>2026-05</x:v>
      </x:c>
      <x:c r="S178" s="12" t="str">
        <x:v>опрос в центре</x:v>
      </x:c>
    </x:row>
    <x:row r="179">
      <x:c r="A179" s="12" t="n">
        <x:v>178</x:v>
      </x:c>
      <x:c r="B179" s="12" t="str">
        <x:v>Краснодарский край</x:v>
      </x:c>
      <x:c r="C179" s="12" t="str">
        <x:v>село</x:v>
      </x:c>
      <x:c r="D179" s="12" t="str">
        <x:v>25-34</x:v>
      </x:c>
      <x:c r="E179" s="12" t="str">
        <x:v>Женский</x:v>
      </x:c>
      <x:c r="F179" s="12" t="str">
        <x:v>обучающийся</x:v>
      </x:c>
      <x:c r="G179" s="12" t="str">
        <x:v>постоянный</x:v>
      </x:c>
      <x:c r="H179" s="14" t="n">
        <x:v>66</x:v>
      </x:c>
      <x:c r="I179" s="14" t="n">
        <x:v>70</x:v>
      </x:c>
      <x:c r="J179" s="14" t="n">
        <x:v>60</x:v>
      </x:c>
      <x:c r="K179" s="14" t="n">
        <x:v>56</x:v>
      </x:c>
      <x:c r="L179" s="14" t="n">
        <x:v>82</x:v>
      </x:c>
      <x:c r="M179" s="14" t="n">
        <x:v>68</x:v>
      </x:c>
      <x:c r="N179" s="14" t="n">
        <x:f>ROUND(AVERAGE(H179:M179),0)</x:f>
        <x:v>67</x:v>
      </x:c>
      <x:c r="O179" s="12" t="str">
        <x:f>IF(N179&gt;=80,"Высокий",IF(N179&gt;=60,"Средний","Низкий"))</x:f>
        <x:v>Средний</x:v>
      </x:c>
      <x:c r="P179" s="12" t="str">
        <x:f>IF(N179&gt;=80,"Низкий",IF(N179&gt;=60,"Средний","Высокий"))</x:f>
        <x:v>Средний</x:v>
      </x:c>
      <x:c r="Q179" s="12" t="str">
        <x:f>IF(MIN(H179:M179)=H179,"Основы цифровой грамотности",IF(MIN(H179:M179)=I179,"Менеджер паролей и 2FA",IF(MIN(H179:M179)=J179,"Персональные данные без утечек",IF(MIN(H179:M179)=K179,"Антифишинг: распознавание угроз",IF(MIN(H179:M179)=L179,"Безопасные платежи и госуслуги","Безопасность в соцсетях")))))</x:f>
        <x:v>Антифишинг: распознавание угроз</x:v>
      </x:c>
      <x:c r="R179" s="12" t="str">
        <x:v>2026-05</x:v>
      </x:c>
      <x:c r="S179" s="12" t="str">
        <x:v>курс SafeNet</x:v>
      </x:c>
    </x:row>
    <x:row r="180">
      <x:c r="A180" s="12" t="n">
        <x:v>179</x:v>
      </x:c>
      <x:c r="B180" s="12" t="str">
        <x:v>Башкортостан</x:v>
      </x:c>
      <x:c r="C180" s="12" t="str">
        <x:v>крупный город</x:v>
      </x:c>
      <x:c r="D180" s="12" t="str">
        <x:v>14-17</x:v>
      </x:c>
      <x:c r="E180" s="12" t="str">
        <x:v>Женский</x:v>
      </x:c>
      <x:c r="F180" s="12" t="str">
        <x:v>обучающийся</x:v>
      </x:c>
      <x:c r="G180" s="12" t="str">
        <x:v>постоянный</x:v>
      </x:c>
      <x:c r="H180" s="14" t="n">
        <x:v>75</x:v>
      </x:c>
      <x:c r="I180" s="14" t="n">
        <x:v>58</x:v>
      </x:c>
      <x:c r="J180" s="14" t="n">
        <x:v>60</x:v>
      </x:c>
      <x:c r="K180" s="14" t="n">
        <x:v>65</x:v>
      </x:c>
      <x:c r="L180" s="14" t="n">
        <x:v>68</x:v>
      </x:c>
      <x:c r="M180" s="14" t="n">
        <x:v>72</x:v>
      </x:c>
      <x:c r="N180" s="14" t="n">
        <x:f>ROUND(AVERAGE(H180:M180),0)</x:f>
        <x:v>66</x:v>
      </x:c>
      <x:c r="O180" s="12" t="str">
        <x:f>IF(N180&gt;=80,"Высокий",IF(N180&gt;=60,"Средний","Низкий"))</x:f>
        <x:v>Средний</x:v>
      </x:c>
      <x:c r="P180" s="12" t="str">
        <x:f>IF(N180&gt;=80,"Низкий",IF(N180&gt;=60,"Средний","Высокий"))</x:f>
        <x:v>Средний</x:v>
      </x:c>
      <x:c r="Q180" s="12" t="str">
        <x:f>IF(MIN(H180:M180)=H180,"Основы цифровой грамотности",IF(MIN(H180:M180)=I180,"Менеджер паролей и 2FA",IF(MIN(H180:M180)=J180,"Персональные данные без утечек",IF(MIN(H180:M180)=K180,"Антифишинг: распознавание угроз",IF(MIN(H180:M180)=L180,"Безопасные платежи и госуслуги","Безопасность в соцсетях")))))</x:f>
        <x:v>Менеджер паролей и 2FA</x:v>
      </x:c>
      <x:c r="R180" s="12" t="str">
        <x:v>2026-01</x:v>
      </x:c>
      <x:c r="S180" s="12" t="str">
        <x:v>школьный модуль</x:v>
      </x:c>
    </x:row>
    <x:row r="181">
      <x:c r="A181" s="12" t="n">
        <x:v>180</x:v>
      </x:c>
      <x:c r="B181" s="12" t="str">
        <x:v>Нижегородская область</x:v>
      </x:c>
      <x:c r="C181" s="12" t="str">
        <x:v>крупный город</x:v>
      </x:c>
      <x:c r="D181" s="12" t="str">
        <x:v>45-60</x:v>
      </x:c>
      <x:c r="E181" s="12" t="str">
        <x:v>Мужской</x:v>
      </x:c>
      <x:c r="F181" s="12" t="str">
        <x:v>среднее</x:v>
      </x:c>
      <x:c r="G181" s="12" t="str">
        <x:v>постоянный</x:v>
      </x:c>
      <x:c r="H181" s="14" t="n">
        <x:v>55</x:v>
      </x:c>
      <x:c r="I181" s="14" t="n">
        <x:v>53</x:v>
      </x:c>
      <x:c r="J181" s="14" t="n">
        <x:v>54</x:v>
      </x:c>
      <x:c r="K181" s="14" t="n">
        <x:v>54</x:v>
      </x:c>
      <x:c r="L181" s="14" t="n">
        <x:v>71</x:v>
      </x:c>
      <x:c r="M181" s="14" t="n">
        <x:v>49</x:v>
      </x:c>
      <x:c r="N181" s="14" t="n">
        <x:f>ROUND(AVERAGE(H181:M181),0)</x:f>
        <x:v>56</x:v>
      </x:c>
      <x:c r="O181" s="12" t="str">
        <x:f>IF(N181&gt;=80,"Высокий",IF(N181&gt;=60,"Средний","Низкий"))</x:f>
        <x:v>Низкий</x:v>
      </x:c>
      <x:c r="P181" s="12" t="str">
        <x:f>IF(N181&gt;=80,"Низкий",IF(N181&gt;=60,"Средний","Высокий"))</x:f>
        <x:v>Высокий</x:v>
      </x:c>
      <x:c r="Q181" s="12" t="str">
        <x:f>IF(MIN(H181:M181)=H181,"Основы цифровой грамотности",IF(MIN(H181:M181)=I181,"Менеджер паролей и 2FA",IF(MIN(H181:M181)=J181,"Персональные данные без утечек",IF(MIN(H181:M181)=K181,"Антифишинг: распознавание угроз",IF(MIN(H181:M181)=L181,"Безопасные платежи и госуслуги","Безопасность в соцсетях")))))</x:f>
        <x:v>Безопасность в соцсетях</x:v>
      </x:c>
      <x:c r="R181" s="12" t="str">
        <x:v>2026-06</x:v>
      </x:c>
      <x:c r="S181" s="12" t="str">
        <x:v>опрос в центре</x:v>
      </x:c>
    </x:row>
  </x:sheetData>
  <x:conditionalFormatting sqref="N2:N181">
    <x:cfRule type="dataBar" priority="1">
      <x:dataBar>
        <x:cfvo type="min"/>
        <x:cfvo type="max"/>
        <x:color rgb="6E2DFF"/>
      </x:dataBar>
      <x:extLst>
        <x:ext xmlns:x14="http://schemas.microsoft.com/office/spreadsheetml/2009/9/main" uri="{B025F937-C7B1-47D3-B67F-A62EFF666E3E}">
          <x14:id>{F88D7474-E993-2A0F-E1EE-3EC91EE7E66A}</x14:id>
        </x:ext>
      </x:extLst>
    </x:cfRule>
  </x:conditionalFormatting>
  <x:conditionalFormatting sqref="O2:O181">
    <x:cfRule type="expression" dxfId="0" priority="2">
      <x:formula>O2="Высокий"</x:formula>
    </x:cfRule>
    <x:cfRule type="expression" dxfId="1" priority="3">
      <x:formula>O2="Средний"</x:formula>
    </x:cfRule>
    <x:cfRule type="expression" dxfId="2" priority="4">
      <x:formula>O2="Низкий"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74f5ff68a645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88D7474-E993-2A0F-E1EE-3EC91EE7E66A}">
            <x14:dataBar gradient="1">
              <x14:cfvo type="min"/>
              <x14:cfvo type="max"/>
              <x14:fillColor rgb="6E2DFF"/>
            </x14:dataBar>
          </x14:cfRule>
          <xm:sqref>N2:N181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6" t="str">
        <x:v>Регион</x:v>
      </x:c>
      <x:c r="B1" s="6" t="str">
        <x:v>Анкет</x:v>
      </x:c>
      <x:c r="C1" s="6" t="str">
        <x:v>Средний балл</x:v>
      </x:c>
      <x:c r="D1" s="6" t="str">
        <x:v>Высокий</x:v>
      </x:c>
      <x:c r="E1" s="6" t="str">
        <x:v>Средний</x:v>
      </x:c>
      <x:c r="F1" s="6" t="str">
        <x:v>Низкий</x:v>
      </x:c>
    </x:row>
    <x:row r="2">
      <x:c r="A2" t="str">
        <x:v>Свердловская область</x:v>
      </x:c>
      <x:c r="B2" t="n">
        <x:v>15</x:v>
      </x:c>
      <x:c r="C2" s="16" t="n">
        <x:v>74.3</x:v>
      </x:c>
      <x:c r="D2" t="n">
        <x:v>4</x:v>
      </x:c>
      <x:c r="E2" t="n">
        <x:v>10</x:v>
      </x:c>
      <x:c r="F2" t="n">
        <x:v>1</x:v>
      </x:c>
    </x:row>
    <x:row r="3">
      <x:c r="A3" t="str">
        <x:v>Нижегородская область</x:v>
      </x:c>
      <x:c r="B3" t="n">
        <x:v>10</x:v>
      </x:c>
      <x:c r="C3" s="16" t="n">
        <x:v>74</x:v>
      </x:c>
      <x:c r="D3" t="n">
        <x:v>3</x:v>
      </x:c>
      <x:c r="E3" t="n">
        <x:v>6</x:v>
      </x:c>
      <x:c r="F3" t="n">
        <x:v>1</x:v>
      </x:c>
    </x:row>
    <x:row r="4">
      <x:c r="A4" t="str">
        <x:v>Башкортостан</x:v>
      </x:c>
      <x:c r="B4" t="n">
        <x:v>15</x:v>
      </x:c>
      <x:c r="C4" s="16" t="n">
        <x:v>72.7</x:v>
      </x:c>
      <x:c r="D4" t="n">
        <x:v>3</x:v>
      </x:c>
      <x:c r="E4" t="n">
        <x:v>10</x:v>
      </x:c>
      <x:c r="F4" t="n">
        <x:v>2</x:v>
      </x:c>
    </x:row>
    <x:row r="5">
      <x:c r="A5" t="str">
        <x:v>Новосибирская область</x:v>
      </x:c>
      <x:c r="B5" t="n">
        <x:v>14</x:v>
      </x:c>
      <x:c r="C5" s="16" t="n">
        <x:v>71.9</x:v>
      </x:c>
      <x:c r="D5" t="n">
        <x:v>3</x:v>
      </x:c>
      <x:c r="E5" t="n">
        <x:v>9</x:v>
      </x:c>
      <x:c r="F5" t="n">
        <x:v>2</x:v>
      </x:c>
    </x:row>
    <x:row r="6">
      <x:c r="A6" t="str">
        <x:v>Москва</x:v>
      </x:c>
      <x:c r="B6" t="n">
        <x:v>14</x:v>
      </x:c>
      <x:c r="C6" s="16" t="n">
        <x:v>71.2</x:v>
      </x:c>
      <x:c r="D6" t="n">
        <x:v>3</x:v>
      </x:c>
      <x:c r="E6" t="n">
        <x:v>8</x:v>
      </x:c>
      <x:c r="F6" t="n">
        <x:v>3</x:v>
      </x:c>
    </x:row>
    <x:row r="7">
      <x:c r="A7" t="str">
        <x:v>Краснодарский край</x:v>
      </x:c>
      <x:c r="B7" t="n">
        <x:v>14</x:v>
      </x:c>
      <x:c r="C7" s="16" t="n">
        <x:v>71.1</x:v>
      </x:c>
      <x:c r="D7" t="n">
        <x:v>3</x:v>
      </x:c>
      <x:c r="E7" t="n">
        <x:v>9</x:v>
      </x:c>
      <x:c r="F7" t="n">
        <x:v>2</x:v>
      </x:c>
    </x:row>
    <x:row r="8">
      <x:c r="A8" t="str">
        <x:v>Самарская область</x:v>
      </x:c>
      <x:c r="B8" t="n">
        <x:v>11</x:v>
      </x:c>
      <x:c r="C8" s="16" t="n">
        <x:v>69.6</x:v>
      </x:c>
      <x:c r="D8" t="n">
        <x:v>1</x:v>
      </x:c>
      <x:c r="E8" t="n">
        <x:v>10</x:v>
      </x:c>
      <x:c r="F8" t="n">
        <x:v>0</x:v>
      </x:c>
    </x:row>
    <x:row r="9">
      <x:c r="A9" t="str">
        <x:v>Татарстан</x:v>
      </x:c>
      <x:c r="B9" t="n">
        <x:v>15</x:v>
      </x:c>
      <x:c r="C9" s="16" t="n">
        <x:v>68.7</x:v>
      </x:c>
      <x:c r="D9" t="n">
        <x:v>2</x:v>
      </x:c>
      <x:c r="E9" t="n">
        <x:v>10</x:v>
      </x:c>
      <x:c r="F9" t="n">
        <x:v>3</x:v>
      </x:c>
    </x:row>
    <x:row r="10">
      <x:c r="A10" t="str">
        <x:v>Пермский край</x:v>
      </x:c>
      <x:c r="B10" t="n">
        <x:v>15</x:v>
      </x:c>
      <x:c r="C10" s="16" t="n">
        <x:v>68</x:v>
      </x:c>
      <x:c r="D10" t="n">
        <x:v>1</x:v>
      </x:c>
      <x:c r="E10" t="n">
        <x:v>11</x:v>
      </x:c>
      <x:c r="F10" t="n">
        <x:v>3</x:v>
      </x:c>
    </x:row>
    <x:row r="11">
      <x:c r="A11" t="str">
        <x:v>Приморский край</x:v>
      </x:c>
      <x:c r="B11" t="n">
        <x:v>21</x:v>
      </x:c>
      <x:c r="C11" s="16" t="n">
        <x:v>66.6</x:v>
      </x:c>
      <x:c r="D11" t="n">
        <x:v>2</x:v>
      </x:c>
      <x:c r="E11" t="n">
        <x:v>16</x:v>
      </x:c>
      <x:c r="F11" t="n">
        <x:v>3</x:v>
      </x:c>
    </x:row>
    <x:row r="12">
      <x:c r="A12" t="str">
        <x:v>Ростовская область</x:v>
      </x:c>
      <x:c r="B12" t="n">
        <x:v>21</x:v>
      </x:c>
      <x:c r="C12" s="16" t="n">
        <x:v>64.7</x:v>
      </x:c>
      <x:c r="D12" t="n">
        <x:v>2</x:v>
      </x:c>
      <x:c r="E12" t="n">
        <x:v>13</x:v>
      </x:c>
      <x:c r="F12" t="n">
        <x:v>6</x:v>
      </x:c>
    </x:row>
    <x:row r="13">
      <x:c r="A13" t="str">
        <x:v>Санкт-Петербург</x:v>
      </x:c>
      <x:c r="B13" t="n">
        <x:v>15</x:v>
      </x:c>
      <x:c r="C13" s="16" t="n">
        <x:v>61.9</x:v>
      </x:c>
      <x:c r="D13" t="n">
        <x:v>1</x:v>
      </x:c>
      <x:c r="E13" t="n">
        <x:v>8</x:v>
      </x:c>
      <x:c r="F13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6" t="str">
        <x:v>Возрастная группа</x:v>
      </x:c>
      <x:c r="B1" s="6" t="str">
        <x:v>Анкет</x:v>
      </x:c>
      <x:c r="C1" s="6" t="str">
        <x:v>Средний балл</x:v>
      </x:c>
      <x:c r="D1" s="6" t="str">
        <x:v>Высокий риск утечки</x:v>
      </x:c>
    </x:row>
    <x:row r="2">
      <x:c r="A2" t="str">
        <x:v>14-17</x:v>
      </x:c>
      <x:c r="B2" t="n">
        <x:v>16</x:v>
      </x:c>
      <x:c r="C2" s="16" t="n">
        <x:v>71.5</x:v>
      </x:c>
      <x:c r="D2" t="n">
        <x:v>0</x:v>
      </x:c>
    </x:row>
    <x:row r="3">
      <x:c r="A3" t="str">
        <x:v>18-24</x:v>
      </x:c>
      <x:c r="B3" t="n">
        <x:v>44</x:v>
      </x:c>
      <x:c r="C3" s="16" t="n">
        <x:v>77.4</x:v>
      </x:c>
      <x:c r="D3" t="n">
        <x:v>1</x:v>
      </x:c>
    </x:row>
    <x:row r="4">
      <x:c r="A4" t="str">
        <x:v>25-34</x:v>
      </x:c>
      <x:c r="B4" t="n">
        <x:v>54</x:v>
      </x:c>
      <x:c r="C4" s="16" t="n">
        <x:v>73.8</x:v>
      </x:c>
      <x:c r="D4" t="n">
        <x:v>1</x:v>
      </x:c>
    </x:row>
    <x:row r="5">
      <x:c r="A5" t="str">
        <x:v>35-44</x:v>
      </x:c>
      <x:c r="B5" t="n">
        <x:v>29</x:v>
      </x:c>
      <x:c r="C5" s="16" t="n">
        <x:v>65.9</x:v>
      </x:c>
      <x:c r="D5" t="n">
        <x:v>5</x:v>
      </x:c>
    </x:row>
    <x:row r="6">
      <x:c r="A6" t="str">
        <x:v>45-60</x:v>
      </x:c>
      <x:c r="B6" t="n">
        <x:v>25</x:v>
      </x:c>
      <x:c r="C6" s="16" t="n">
        <x:v>58</x:v>
      </x:c>
      <x:c r="D6" t="n">
        <x:v>13</x:v>
      </x:c>
    </x:row>
    <x:row r="7">
      <x:c r="A7" t="str">
        <x:v>60+</x:v>
      </x:c>
      <x:c r="B7" t="n">
        <x:v>12</x:v>
      </x:c>
      <x:c r="C7" s="16" t="n">
        <x:v>46.1</x:v>
      </x:c>
      <x:c r="D7" t="n">
        <x:v>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6" t="str">
        <x:v>Компетенция</x:v>
      </x:c>
      <x:c r="B1" s="6" t="str">
        <x:v>Средний балл</x:v>
      </x:c>
      <x:c r="D1" s="6" t="str">
        <x:v>Уровень</x:v>
      </x:c>
      <x:c r="E1" s="6" t="str">
        <x:v>Кол-во</x:v>
      </x:c>
      <x:c r="F1" s="6" t="str">
        <x:v>Доля</x:v>
      </x:c>
    </x:row>
    <x:row r="2">
      <x:c r="A2" t="str">
        <x:v>Поиск информации</x:v>
      </x:c>
      <x:c r="B2" t="n">
        <x:v>73.6</x:v>
      </x:c>
      <x:c r="D2" t="str">
        <x:v>Высокий</x:v>
      </x:c>
      <x:c r="E2" t="n">
        <x:v>28</x:v>
      </x:c>
      <x:c r="F2" s="18" t="n">
        <x:v>0.156</x:v>
      </x:c>
    </x:row>
    <x:row r="3">
      <x:c r="A3" t="str">
        <x:v>Пароли и 2FA</x:v>
      </x:c>
      <x:c r="B3" t="n">
        <x:v>67.9</x:v>
      </x:c>
      <x:c r="D3" t="str">
        <x:v>Средний</x:v>
      </x:c>
      <x:c r="E3" t="n">
        <x:v>120</x:v>
      </x:c>
      <x:c r="F3" s="18" t="n">
        <x:v>0.667</x:v>
      </x:c>
    </x:row>
    <x:row r="4">
      <x:c r="A4" t="str">
        <x:v>Персональные данные</x:v>
      </x:c>
      <x:c r="B4" t="n">
        <x:v>70</x:v>
      </x:c>
      <x:c r="D4" t="str">
        <x:v>Низкий</x:v>
      </x:c>
      <x:c r="E4" t="n">
        <x:v>32</x:v>
      </x:c>
      <x:c r="F4" s="18" t="n">
        <x:v>0.178</x:v>
      </x:c>
    </x:row>
    <x:row r="5">
      <x:c r="A5" t="str">
        <x:v>Фишинг</x:v>
      </x:c>
      <x:c r="B5" t="n">
        <x:v>66.5</x:v>
      </x:c>
    </x:row>
    <x:row r="6">
      <x:c r="A6" t="str">
        <x:v>Госуслуги и банкинг</x:v>
      </x:c>
      <x:c r="B6" t="n">
        <x:v>69.8</x:v>
      </x:c>
    </x:row>
    <x:row r="7">
      <x:c r="A7" t="str">
        <x:v>Соцсети</x:v>
      </x:c>
      <x:c r="B7" t="n">
        <x:v>67.2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23" t="str">
        <x:v>SafeNet — дашборд оценки цифровой грамотности населения</x:v>
      </x:c>
    </x:row>
    <x:row r="3">
      <x:c r="A3" s="31" t="str">
        <x:v>Всего анкет</x:v>
      </x:c>
      <x:c r="B3" s="31" t="n">
        <x:v>180</x:v>
      </x:c>
      <x:c r="C3" s="31" t="str">
        <x:v>Средний балл</x:v>
      </x:c>
      <x:c r="D3" s="31" t="n">
        <x:v>69.2</x:v>
      </x:c>
    </x:row>
    <x:row r="4">
      <x:c r="A4" s="31" t="str">
        <x:v>Высокий уровень</x:v>
      </x:c>
      <x:c r="B4" s="31" t="n">
        <x:v>28</x:v>
      </x:c>
      <x:c r="C4" s="31" t="str">
        <x:v>Средний уровень</x:v>
      </x:c>
      <x:c r="D4" s="31" t="n">
        <x:v>120</x:v>
      </x:c>
    </x:row>
    <x:row r="5">
      <x:c r="A5" s="31" t="str">
        <x:v>Низкий уровень</x:v>
      </x:c>
      <x:c r="B5" s="31" t="n">
        <x:v>32</x:v>
      </x:c>
      <x:c r="C5" s="31" t="str">
        <x:v>Высокий риск</x:v>
      </x:c>
      <x:c r="D5" s="31" t="n">
        <x:v>32</x:v>
      </x:c>
    </x:row>
    <x:row r="7">
      <x:c r="A7" s="6" t="str">
        <x:v>Регион</x:v>
      </x:c>
      <x:c r="B7" s="6" t="str">
        <x:v>Анкет</x:v>
      </x:c>
      <x:c r="C7" s="6" t="str">
        <x:v>Средний балл</x:v>
      </x:c>
      <x:c r="D7" s="6" t="str">
        <x:v>Высокий</x:v>
      </x:c>
      <x:c r="E7" s="6" t="str">
        <x:v>Средний</x:v>
      </x:c>
      <x:c r="F7" s="6" t="str">
        <x:v>Низкий</x:v>
      </x:c>
      <x:c r="H7" s="6" t="str">
        <x:v>Компетенция</x:v>
      </x:c>
      <x:c r="I7" s="6" t="str">
        <x:v>Средний балл</x:v>
      </x:c>
      <x:c r="K7" s="6" t="str">
        <x:v>Уровень</x:v>
      </x:c>
      <x:c r="L7" s="6" t="str">
        <x:v>Кол-во</x:v>
      </x:c>
      <x:c r="M7" s="6" t="str">
        <x:v>Доля</x:v>
      </x:c>
    </x:row>
    <x:row r="8">
      <x:c r="A8" t="str">
        <x:v>Свердловская область</x:v>
      </x:c>
      <x:c r="B8" t="n">
        <x:v>15</x:v>
      </x:c>
      <x:c r="C8" s="16" t="n">
        <x:v>74.3</x:v>
      </x:c>
      <x:c r="D8" t="n">
        <x:v>4</x:v>
      </x:c>
      <x:c r="E8" t="n">
        <x:v>10</x:v>
      </x:c>
      <x:c r="F8" t="n">
        <x:v>1</x:v>
      </x:c>
      <x:c r="H8" t="str">
        <x:v>Поиск информации</x:v>
      </x:c>
      <x:c r="I8" s="16" t="n">
        <x:v>73.6</x:v>
      </x:c>
      <x:c r="K8" t="str">
        <x:v>Высокий</x:v>
      </x:c>
      <x:c r="L8" t="n">
        <x:v>28</x:v>
      </x:c>
      <x:c r="M8" s="18" t="n">
        <x:v>0.156</x:v>
      </x:c>
    </x:row>
    <x:row r="9">
      <x:c r="A9" t="str">
        <x:v>Нижегородская область</x:v>
      </x:c>
      <x:c r="B9" t="n">
        <x:v>10</x:v>
      </x:c>
      <x:c r="C9" s="16" t="n">
        <x:v>74</x:v>
      </x:c>
      <x:c r="D9" t="n">
        <x:v>3</x:v>
      </x:c>
      <x:c r="E9" t="n">
        <x:v>6</x:v>
      </x:c>
      <x:c r="F9" t="n">
        <x:v>1</x:v>
      </x:c>
      <x:c r="H9" t="str">
        <x:v>Пароли и 2FA</x:v>
      </x:c>
      <x:c r="I9" s="16" t="n">
        <x:v>67.9</x:v>
      </x:c>
      <x:c r="K9" t="str">
        <x:v>Средний</x:v>
      </x:c>
      <x:c r="L9" t="n">
        <x:v>120</x:v>
      </x:c>
      <x:c r="M9" s="18" t="n">
        <x:v>0.667</x:v>
      </x:c>
    </x:row>
    <x:row r="10">
      <x:c r="A10" t="str">
        <x:v>Башкортостан</x:v>
      </x:c>
      <x:c r="B10" t="n">
        <x:v>15</x:v>
      </x:c>
      <x:c r="C10" s="16" t="n">
        <x:v>72.7</x:v>
      </x:c>
      <x:c r="D10" t="n">
        <x:v>3</x:v>
      </x:c>
      <x:c r="E10" t="n">
        <x:v>10</x:v>
      </x:c>
      <x:c r="F10" t="n">
        <x:v>2</x:v>
      </x:c>
      <x:c r="H10" t="str">
        <x:v>Персональные данные</x:v>
      </x:c>
      <x:c r="I10" s="16" t="n">
        <x:v>70</x:v>
      </x:c>
      <x:c r="K10" t="str">
        <x:v>Низкий</x:v>
      </x:c>
      <x:c r="L10" t="n">
        <x:v>32</x:v>
      </x:c>
      <x:c r="M10" s="18" t="n">
        <x:v>0.178</x:v>
      </x:c>
    </x:row>
    <x:row r="11">
      <x:c r="A11" t="str">
        <x:v>Новосибирская область</x:v>
      </x:c>
      <x:c r="B11" t="n">
        <x:v>14</x:v>
      </x:c>
      <x:c r="C11" s="16" t="n">
        <x:v>71.9</x:v>
      </x:c>
      <x:c r="D11" t="n">
        <x:v>3</x:v>
      </x:c>
      <x:c r="E11" t="n">
        <x:v>9</x:v>
      </x:c>
      <x:c r="F11" t="n">
        <x:v>2</x:v>
      </x:c>
      <x:c r="H11" t="str">
        <x:v>Фишинг</x:v>
      </x:c>
      <x:c r="I11" s="16" t="n">
        <x:v>66.5</x:v>
      </x:c>
    </x:row>
    <x:row r="12">
      <x:c r="A12" t="str">
        <x:v>Москва</x:v>
      </x:c>
      <x:c r="B12" t="n">
        <x:v>14</x:v>
      </x:c>
      <x:c r="C12" s="16" t="n">
        <x:v>71.2</x:v>
      </x:c>
      <x:c r="D12" t="n">
        <x:v>3</x:v>
      </x:c>
      <x:c r="E12" t="n">
        <x:v>8</x:v>
      </x:c>
      <x:c r="F12" t="n">
        <x:v>3</x:v>
      </x:c>
      <x:c r="H12" t="str">
        <x:v>Госуслуги и банкинг</x:v>
      </x:c>
      <x:c r="I12" s="16" t="n">
        <x:v>69.8</x:v>
      </x:c>
    </x:row>
    <x:row r="13">
      <x:c r="A13" t="str">
        <x:v>Краснодарский край</x:v>
      </x:c>
      <x:c r="B13" t="n">
        <x:v>14</x:v>
      </x:c>
      <x:c r="C13" s="16" t="n">
        <x:v>71.1</x:v>
      </x:c>
      <x:c r="D13" t="n">
        <x:v>3</x:v>
      </x:c>
      <x:c r="E13" t="n">
        <x:v>9</x:v>
      </x:c>
      <x:c r="F13" t="n">
        <x:v>2</x:v>
      </x:c>
      <x:c r="H13" t="str">
        <x:v>Соцсети</x:v>
      </x:c>
      <x:c r="I13" s="16" t="n">
        <x:v>67.2</x:v>
      </x:c>
    </x:row>
    <x:row r="14">
      <x:c r="A14" t="str">
        <x:v>Самарская область</x:v>
      </x:c>
      <x:c r="B14" t="n">
        <x:v>11</x:v>
      </x:c>
      <x:c r="C14" s="16" t="n">
        <x:v>69.6</x:v>
      </x:c>
      <x:c r="D14" t="n">
        <x:v>1</x:v>
      </x:c>
      <x:c r="E14" t="n">
        <x:v>10</x:v>
      </x:c>
      <x:c r="F14" t="n">
        <x:v>0</x:v>
      </x:c>
    </x:row>
    <x:row r="15">
      <x:c r="A15" t="str">
        <x:v>Татарстан</x:v>
      </x:c>
      <x:c r="B15" t="n">
        <x:v>15</x:v>
      </x:c>
      <x:c r="C15" s="16" t="n">
        <x:v>68.7</x:v>
      </x:c>
      <x:c r="D15" t="n">
        <x:v>2</x:v>
      </x:c>
      <x:c r="E15" t="n">
        <x:v>10</x:v>
      </x:c>
      <x:c r="F15" t="n">
        <x:v>3</x:v>
      </x:c>
    </x:row>
    <x:row r="16">
      <x:c r="A16" t="str">
        <x:v>Пермский край</x:v>
      </x:c>
      <x:c r="B16" t="n">
        <x:v>15</x:v>
      </x:c>
      <x:c r="C16" s="16" t="n">
        <x:v>68</x:v>
      </x:c>
      <x:c r="D16" t="n">
        <x:v>1</x:v>
      </x:c>
      <x:c r="E16" t="n">
        <x:v>11</x:v>
      </x:c>
      <x:c r="F16" t="n">
        <x:v>3</x:v>
      </x:c>
    </x:row>
    <x:row r="17">
      <x:c r="A17" t="str">
        <x:v>Приморский край</x:v>
      </x:c>
      <x:c r="B17" t="n">
        <x:v>21</x:v>
      </x:c>
      <x:c r="C17" s="16" t="n">
        <x:v>66.6</x:v>
      </x:c>
      <x:c r="D17" t="n">
        <x:v>2</x:v>
      </x:c>
      <x:c r="E17" t="n">
        <x:v>16</x:v>
      </x:c>
      <x:c r="F17" t="n">
        <x:v>3</x:v>
      </x:c>
    </x:row>
    <x:row r="18">
      <x:c r="A18" t="str">
        <x:v>Ростовская область</x:v>
      </x:c>
      <x:c r="B18" t="n">
        <x:v>21</x:v>
      </x:c>
      <x:c r="C18" s="16" t="n">
        <x:v>64.7</x:v>
      </x:c>
      <x:c r="D18" t="n">
        <x:v>2</x:v>
      </x:c>
      <x:c r="E18" t="n">
        <x:v>13</x:v>
      </x:c>
      <x:c r="F18" t="n">
        <x:v>6</x:v>
      </x:c>
    </x:row>
    <x:row r="19">
      <x:c r="A19" t="str">
        <x:v>Санкт-Петербург</x:v>
      </x:c>
      <x:c r="B19" t="n">
        <x:v>15</x:v>
      </x:c>
      <x:c r="C19" s="16" t="n">
        <x:v>61.9</x:v>
      </x:c>
      <x:c r="D19" t="n">
        <x:v>1</x:v>
      </x:c>
      <x:c r="E19" t="n">
        <x:v>8</x:v>
      </x:c>
      <x:c r="F19" t="n">
        <x:v>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0552946d69f42b4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Справочник</x:v>
      </x:c>
      <x:c r="B1" s="6" t="str">
        <x:v>Значения</x:v>
      </x:c>
      <x:c r="C1" s="6" t="str">
        <x:v>Описание</x:v>
      </x:c>
      <x:c r="D1" s="6" t="str">
        <x:v>Правило оценки</x:v>
      </x:c>
    </x:row>
    <x:row r="2">
      <x:c r="A2" s="12" t="str">
        <x:v>Шкала баллов</x:v>
      </x:c>
      <x:c r="B2" s="12" t="str">
        <x:v>0-59</x:v>
      </x:c>
      <x:c r="C2" s="12" t="str">
        <x:v>Низкий уровень</x:v>
      </x:c>
      <x:c r="D2" s="12" t="str">
        <x:v>Нужен базовый курс и контроль рисков</x:v>
      </x:c>
    </x:row>
    <x:row r="3">
      <x:c r="A3" s="12" t="str">
        <x:v>Шкала баллов</x:v>
      </x:c>
      <x:c r="B3" s="12" t="str">
        <x:v>60-79</x:v>
      </x:c>
      <x:c r="C3" s="12" t="str">
        <x:v>Средний уровень</x:v>
      </x:c>
      <x:c r="D3" s="12" t="str">
        <x:v>Нужна тренировка защиты аккаунтов и фишинга</x:v>
      </x:c>
    </x:row>
    <x:row r="4">
      <x:c r="A4" s="12" t="str">
        <x:v>Шкала баллов</x:v>
      </x:c>
      <x:c r="B4" s="12" t="str">
        <x:v>80-100</x:v>
      </x:c>
      <x:c r="C4" s="12" t="str">
        <x:v>Высокий уровень</x:v>
      </x:c>
      <x:c r="D4" s="12" t="str">
        <x:v>Можно изучать продвинутую приватность</x:v>
      </x:c>
    </x:row>
    <x:row r="5">
      <x:c r="A5" s="12" t="str">
        <x:v>Формула</x:v>
      </x:c>
      <x:c r="B5" s="12" t="str">
        <x:v>Итоговый балл</x:v>
      </x:c>
      <x:c r="C5" s="12" t="str">
        <x:v>Среднее по 6 компетенциям</x:v>
      </x:c>
      <x:c r="D5" s="12" t="str">
        <x:v>=ROUND(AVERAGE(H:M),0)</x:v>
      </x:c>
    </x:row>
    <x:row r="6">
      <x:c r="A6" s="12" t="str">
        <x:v>Компетенция</x:v>
      </x:c>
      <x:c r="B6" s="12" t="str">
        <x:v>Пароли и 2FA</x:v>
      </x:c>
      <x:c r="C6" s="12" t="str">
        <x:v>Надежность паролей и второй фактор</x:v>
      </x:c>
      <x:c r="D6" s="12" t="str">
        <x:v>20-100</x:v>
      </x:c>
    </x:row>
    <x:row r="7">
      <x:c r="A7" s="12" t="str">
        <x:v>Компетенция</x:v>
      </x:c>
      <x:c r="B7" s="12" t="str">
        <x:v>Фишинг</x:v>
      </x:c>
      <x:c r="C7" s="12" t="str">
        <x:v>Распознавание мошеннических сообщений</x:v>
      </x:c>
      <x:c r="D7" s="12" t="str">
        <x:v>20-100</x:v>
      </x:c>
    </x:row>
    <x:row r="8">
      <x:c r="A8" s="12" t="str">
        <x:v>Компетенция</x:v>
      </x:c>
      <x:c r="B8" s="12" t="str">
        <x:v>Соцсети</x:v>
      </x:c>
      <x:c r="C8" s="12" t="str">
        <x:v>Настройки приватности и безопасное поведение</x:v>
      </x:c>
      <x:c r="D8" s="12" t="str">
        <x:v>20-100</x:v>
      </x:c>
    </x:row>
    <x:row r="9">
      <x:c r="A9" s="12" t="str">
        <x:v>Источник</x:v>
      </x:c>
      <x:c r="B9" s="12" t="str">
        <x:v>синтетические данные</x:v>
      </x:c>
      <x:c r="C9" s="12" t="str">
        <x:v>Учебный набор для проекта SafeNet</x:v>
      </x:c>
      <x:c r="D9" s="12" t="str">
        <x:v>180 записей</x:v>
      </x:c>
    </x:row>
  </x:sheetData>
  <x:pageMargins left="0.7" right="0.7" top="0.75" bottom="0.75" header="0.3" footer="0.3"/>
</x:worksheet>
</file>